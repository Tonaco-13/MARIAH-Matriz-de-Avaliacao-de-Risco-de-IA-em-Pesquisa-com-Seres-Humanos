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Vetores" sheetId="2" state="visible" r:id="rId2"/>
    <sheet xmlns:r="http://schemas.openxmlformats.org/officeDocument/2006/relationships" name="Itens_B" sheetId="3" state="visible" r:id="rId3"/>
    <sheet xmlns:r="http://schemas.openxmlformats.org/officeDocument/2006/relationships" name="Entradas_B" sheetId="4" state="visible" r:id="rId4"/>
    <sheet xmlns:r="http://schemas.openxmlformats.org/officeDocument/2006/relationships" name="Calculo_B" sheetId="5" state="visible" r:id="rId5"/>
    <sheet xmlns:r="http://schemas.openxmlformats.org/officeDocument/2006/relationships" name="V17_VersaoA" sheetId="6" state="visible" r:id="rId6"/>
    <sheet xmlns:r="http://schemas.openxmlformats.org/officeDocument/2006/relationships" name="V18_MapaI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Planilha de pontuação paralela — gate tripartite MARIAH v2 (guia × app × revisor)</t>
        </is>
      </c>
    </row>
    <row r="2"/>
    <row r="3">
      <c r="A3" t="inlineStr">
        <is>
          <t>Camada 1 (este arquivo): esqueleto — respostas de entrada fixadas item a item e RESULTADO ESPERADO em</t>
        </is>
      </c>
    </row>
    <row r="4">
      <c r="A4" t="inlineStr">
        <is>
          <t>termos de comportamento (nível I–IV, não avaliável, Prevalência, clamp do 7C). Gerada em 15/08/2026.</t>
        </is>
      </c>
    </row>
    <row r="5">
      <c r="A5" t="inlineStr">
        <is>
          <t>Camada 2 (após spec v2.0-draft): preencher colunas 'app' e cruzar célula a célula. Divergência bloqueia.</t>
        </is>
      </c>
    </row>
    <row r="6"/>
    <row r="7">
      <c r="A7" t="inlineStr">
        <is>
          <t>Conjunto de vetores (despacho da engenharia, 15/08/2026):</t>
        </is>
      </c>
    </row>
    <row r="8">
      <c r="A8" t="inlineStr">
        <is>
          <t>V1–V3  Fronteiras recalibradas sem banco: 57/58/59 · 126/127/128 · 207/208/209 (cortes 58/127/208)</t>
        </is>
      </c>
    </row>
    <row r="9">
      <c r="A9" t="inlineStr">
        <is>
          <t>V4/V5  Pior caso avaliável (275) / melhor caso (0)</t>
        </is>
      </c>
    </row>
    <row r="10">
      <c r="A10" t="inlineStr">
        <is>
          <t>V6     Ativação do Bloco 6.b: fronteiras com banco 64/65 · 141/142 · 230/231 + pior caso avaliável (297)</t>
        </is>
      </c>
    </row>
    <row r="11">
      <c r="A11" t="inlineStr">
        <is>
          <t>V7/V8  Eliminatórias: P6.b.2 (anuência) · P2.8 (novo consentimento) → não avaliável</t>
        </is>
      </c>
    </row>
    <row r="12">
      <c r="A12" t="inlineStr">
        <is>
          <t>V9     N/A (P6.12/P6.13) não pontua nem altera faixa</t>
        </is>
      </c>
    </row>
    <row r="13">
      <c r="A13" t="inlineStr">
        <is>
          <t>V10    Contrato 'descritiva não pontua' (C.1–C.8 no pior valor → escore idêntico)</t>
        </is>
      </c>
    </row>
    <row r="14">
      <c r="A14" t="inlineStr">
        <is>
          <t>V11    7C todas presentes → piso do Bloco 7 clampado em 0 (raw −88, sem negativo)</t>
        </is>
      </c>
    </row>
    <row r="15">
      <c r="A15" t="inlineStr">
        <is>
          <t>V12    7C todas ausentes no pior caso → teto 275, NÃO 298 (trava do cenário A)</t>
        </is>
      </c>
    </row>
    <row r="16">
      <c r="A16" t="inlineStr">
        <is>
          <t>V13    Prevalência (P4.1) com escore baixo → Nível IV forçado</t>
        </is>
      </c>
    </row>
    <row r="17">
      <c r="A17" t="inlineStr">
        <is>
          <t>V14    Eliminatória + escore alto (304) → não avaliável, nunca IV</t>
        </is>
      </c>
    </row>
    <row r="18">
      <c r="A18" t="inlineStr">
        <is>
          <t>V15    Checklist TCLE parcial (8/9) → devolução, não pontua</t>
        </is>
      </c>
    </row>
    <row r="19">
      <c r="A19" t="inlineStr">
        <is>
          <t>V20–V22 Gates de diligência: P6.b.4.1 = 'Não' · P6.b.7 = 'Não' · diligência violada + escore alto (297) → não avaliável</t>
        </is>
      </c>
    </row>
    <row r="20">
      <c r="A20" t="inlineStr">
        <is>
          <t>V23    Diligências em 'não se aplica' (sem pedido de dispensa): N/A não é falha — classifica pela faixa</t>
        </is>
      </c>
    </row>
    <row r="21">
      <c r="A21" t="inlineStr">
        <is>
          <t>V16    Arredondamento .5: 110/238 × 304 = 140,5 → 141 (meia-unidade para cima) — cortes com banco</t>
        </is>
      </c>
    </row>
    <row r="22">
      <c r="A22" t="inlineStr">
        <is>
          <t>V17    Fronteiras da Versão A 0..5 por eixo (Eixo 2 = 12, Eixo 3 = 13) + regra especial do 3.b</t>
        </is>
      </c>
    </row>
    <row r="23">
      <c r="A23" t="inlineStr">
        <is>
          <t>V18    Mapa de IDs: export v1 relido sob CHANGELOG v2 (auditabilidade retroativa)</t>
        </is>
      </c>
    </row>
    <row r="24"/>
    <row r="25">
      <c r="A25" t="inlineStr">
        <is>
          <t>Assunções CONFIRMADAS pela engenharia contra o código v1 (Fase 0.5, main; despacho de 15/08/2026):</t>
        </is>
      </c>
    </row>
    <row r="26">
      <c r="A26" t="inlineStr">
        <is>
          <t>A1  Bloco 7 com piso em 0 (clamp; plano §9.6.1) — CONFIRMADA</t>
        </is>
      </c>
    </row>
    <row r="27">
      <c r="A27" t="inlineStr">
        <is>
          <t>A2  7A/7B bidirecional legado (ausente soma; presente subtrai) · 7C só-abate (ausente = 0) — CONFIRMADA (verify-math 50/50 no main)</t>
        </is>
      </c>
    </row>
    <row r="28">
      <c r="A28" t="inlineStr">
        <is>
          <t>A3  N/A contribui 0 e não altera teto/cortes (todas as N/A são efeito 'risco') — CONFIRMADA</t>
        </is>
      </c>
    </row>
    <row r="29">
      <c r="A29" t="inlineStr">
        <is>
          <t>A4  Precedência: não avaliável (eliminatória/diligência) &gt; Prevalência (IV) &gt; faixa por escore — CONFIRMADA no modelo;</t>
        </is>
      </c>
    </row>
    <row r="30">
      <c r="A30" t="inlineStr">
        <is>
          <t xml:space="preserve">     ressalva técnica: o export v1 codifica 'não avaliável' como 'IV' (bug M3) — será valor distinto na v2, sem efeito nesta planilha</t>
        </is>
      </c>
    </row>
    <row r="31"/>
    <row r="32">
      <c r="A32" t="inlineStr">
        <is>
          <t>Números congelados (memória Rev.2): tetos 275/304 · cortes 58/127/208 e 64/141/230 · fatia ética 50,5%</t>
        </is>
      </c>
    </row>
    <row r="33">
      <c r="A33" t="inlineStr">
        <is>
          <t>NOTA DE DOMÍNIO adotada na spec (engenharia, 15/08): tetoTeorico=304; tetoAvaliavel=297 (= 304 − 7 da P6.b.2</t>
        </is>
      </c>
    </row>
    <row r="34">
      <c r="A34" t="inlineStr">
        <is>
          <t>eliminatória). Os cortes com banco derivam do teto TEÓRICO pela fração fixa (64/141/230) — o 297 é documental, não muda faixa.</t>
        </is>
      </c>
    </row>
    <row r="35">
      <c r="A35" t="inlineStr">
        <is>
          <t>V19 (auxiliar, confirmado): modo Triagem A→B com protocolo III em A → relatório combinado coerente (plano §9.6.6).</t>
        </is>
      </c>
    </row>
    <row r="37">
      <c r="A37" t="inlineStr">
        <is>
          <t>Camada 2 (20/08/2026): escores esperados validados contra a memória Rev.2 e a spec v2.0-draft (recálculo independente em Python: 31/31 vetores Versão B reproduzidos). V23 atualizado pela F-18a: P6.b.4 = N/A ("sem pedido") → esperado 75/II (antes: 80 com P6.b.4 = Não). Pronta para o cruzamento célula a célula com o app (colunas G–J).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Vetor</t>
        </is>
      </c>
      <c r="B1" s="2" t="inlineStr">
        <is>
          <t>Versão</t>
        </is>
      </c>
      <c r="C1" s="2" t="inlineStr">
        <is>
          <t>Banco?</t>
        </is>
      </c>
      <c r="D1" s="2" t="inlineStr">
        <is>
          <t>Hipótese / cenário</t>
        </is>
      </c>
      <c r="E1" s="2" t="inlineStr">
        <is>
          <t>Escore esperado (memória Rev.2)</t>
        </is>
      </c>
      <c r="F1" s="2" t="inlineStr">
        <is>
          <t>Resultado esperado (comportamento)</t>
        </is>
      </c>
      <c r="G1" s="2" t="inlineStr">
        <is>
          <t>Escore app</t>
        </is>
      </c>
      <c r="H1" s="2" t="inlineStr">
        <is>
          <t>Nível/resultado app</t>
        </is>
      </c>
      <c r="I1" s="2" t="inlineStr">
        <is>
          <t>Δ</t>
        </is>
      </c>
      <c r="J1" s="2" t="inlineStr">
        <is>
          <t>Status cruzamento</t>
        </is>
      </c>
    </row>
    <row r="2">
      <c r="A2" s="3" t="inlineStr">
        <is>
          <t>V1a</t>
        </is>
      </c>
      <c r="B2" s="3" t="inlineStr">
        <is>
          <t>B</t>
        </is>
      </c>
      <c r="C2" s="3" t="inlineStr">
        <is>
          <t>não</t>
        </is>
      </c>
      <c r="D2" s="3" t="inlineStr">
        <is>
          <t>Fronteira I/II — 1 abaixo do corte (57)</t>
        </is>
      </c>
      <c r="E2" s="3" t="n">
        <v>57</v>
      </c>
      <c r="F2" s="3" t="inlineStr">
        <is>
          <t>I</t>
        </is>
      </c>
      <c r="G2" s="3" t="inlineStr"/>
      <c r="H2" s="3" t="inlineStr"/>
      <c r="I2" s="3" t="inlineStr"/>
      <c r="J2" s="3" t="inlineStr">
        <is>
          <t>AGUARDA APP — camada 2 validada (memória Rev.2 + F-18a)</t>
        </is>
      </c>
    </row>
    <row r="3">
      <c r="A3" s="3" t="inlineStr">
        <is>
          <t>V1b</t>
        </is>
      </c>
      <c r="B3" s="3" t="inlineStr">
        <is>
          <t>B</t>
        </is>
      </c>
      <c r="C3" s="3" t="inlineStr">
        <is>
          <t>não</t>
        </is>
      </c>
      <c r="D3" s="3" t="inlineStr">
        <is>
          <t>Fronteira I/II — no corte (58)</t>
        </is>
      </c>
      <c r="E3" s="3" t="n">
        <v>58</v>
      </c>
      <c r="F3" s="3" t="inlineStr">
        <is>
          <t>I</t>
        </is>
      </c>
      <c r="G3" s="3" t="inlineStr"/>
      <c r="H3" s="3" t="inlineStr"/>
      <c r="I3" s="3" t="inlineStr"/>
      <c r="J3" s="3" t="inlineStr">
        <is>
          <t>AGUARDA APP — camada 2 validada (memória Rev.2 + F-18a)</t>
        </is>
      </c>
    </row>
    <row r="4">
      <c r="A4" s="3" t="inlineStr">
        <is>
          <t>V1c</t>
        </is>
      </c>
      <c r="B4" s="3" t="inlineStr">
        <is>
          <t>B</t>
        </is>
      </c>
      <c r="C4" s="3" t="inlineStr">
        <is>
          <t>não</t>
        </is>
      </c>
      <c r="D4" s="3" t="inlineStr">
        <is>
          <t>Fronteira I/II — 1 acima (59)</t>
        </is>
      </c>
      <c r="E4" s="3" t="n">
        <v>59</v>
      </c>
      <c r="F4" s="3" t="inlineStr">
        <is>
          <t>II</t>
        </is>
      </c>
      <c r="G4" s="3" t="inlineStr"/>
      <c r="H4" s="3" t="inlineStr"/>
      <c r="I4" s="3" t="inlineStr"/>
      <c r="J4" s="3" t="inlineStr">
        <is>
          <t>AGUARDA APP — camada 2 validada (memória Rev.2 + F-18a)</t>
        </is>
      </c>
    </row>
    <row r="5">
      <c r="A5" s="3" t="inlineStr">
        <is>
          <t>V2a</t>
        </is>
      </c>
      <c r="B5" s="3" t="inlineStr">
        <is>
          <t>B</t>
        </is>
      </c>
      <c r="C5" s="3" t="inlineStr">
        <is>
          <t>não</t>
        </is>
      </c>
      <c r="D5" s="3" t="inlineStr">
        <is>
          <t>Fronteira II/III — 1 abaixo (126)</t>
        </is>
      </c>
      <c r="E5" s="3" t="n">
        <v>126</v>
      </c>
      <c r="F5" s="3" t="inlineStr">
        <is>
          <t>II</t>
        </is>
      </c>
      <c r="G5" s="3" t="inlineStr"/>
      <c r="H5" s="3" t="inlineStr"/>
      <c r="I5" s="3" t="inlineStr"/>
      <c r="J5" s="3" t="inlineStr">
        <is>
          <t>AGUARDA APP — camada 2 validada (memória Rev.2 + F-18a)</t>
        </is>
      </c>
    </row>
    <row r="6">
      <c r="A6" s="3" t="inlineStr">
        <is>
          <t>V2b</t>
        </is>
      </c>
      <c r="B6" s="3" t="inlineStr">
        <is>
          <t>B</t>
        </is>
      </c>
      <c r="C6" s="3" t="inlineStr">
        <is>
          <t>não</t>
        </is>
      </c>
      <c r="D6" s="3" t="inlineStr">
        <is>
          <t>Fronteira II/III — no corte (127)</t>
        </is>
      </c>
      <c r="E6" s="3" t="n">
        <v>127</v>
      </c>
      <c r="F6" s="3" t="inlineStr">
        <is>
          <t>II</t>
        </is>
      </c>
      <c r="G6" s="3" t="inlineStr"/>
      <c r="H6" s="3" t="inlineStr"/>
      <c r="I6" s="3" t="inlineStr"/>
      <c r="J6" s="3" t="inlineStr">
        <is>
          <t>AGUARDA APP — camada 2 validada (memória Rev.2 + F-18a)</t>
        </is>
      </c>
    </row>
    <row r="7">
      <c r="A7" s="3" t="inlineStr">
        <is>
          <t>V2c</t>
        </is>
      </c>
      <c r="B7" s="3" t="inlineStr">
        <is>
          <t>B</t>
        </is>
      </c>
      <c r="C7" s="3" t="inlineStr">
        <is>
          <t>não</t>
        </is>
      </c>
      <c r="D7" s="3" t="inlineStr">
        <is>
          <t>Fronteira II/III — 1 acima (128)</t>
        </is>
      </c>
      <c r="E7" s="3" t="n">
        <v>128</v>
      </c>
      <c r="F7" s="3" t="inlineStr">
        <is>
          <t>III</t>
        </is>
      </c>
      <c r="G7" s="3" t="inlineStr"/>
      <c r="H7" s="3" t="inlineStr"/>
      <c r="I7" s="3" t="inlineStr"/>
      <c r="J7" s="3" t="inlineStr">
        <is>
          <t>AGUARDA APP — camada 2 validada (memória Rev.2 + F-18a)</t>
        </is>
      </c>
    </row>
    <row r="8">
      <c r="A8" s="3" t="inlineStr">
        <is>
          <t>V3a</t>
        </is>
      </c>
      <c r="B8" s="3" t="inlineStr">
        <is>
          <t>B</t>
        </is>
      </c>
      <c r="C8" s="3" t="inlineStr">
        <is>
          <t>não</t>
        </is>
      </c>
      <c r="D8" s="3" t="inlineStr">
        <is>
          <t>Fronteira III/IV — 1 abaixo (207)</t>
        </is>
      </c>
      <c r="E8" s="3" t="n">
        <v>207</v>
      </c>
      <c r="F8" s="3" t="inlineStr">
        <is>
          <t>III</t>
        </is>
      </c>
      <c r="G8" s="3" t="inlineStr"/>
      <c r="H8" s="3" t="inlineStr"/>
      <c r="I8" s="3" t="inlineStr"/>
      <c r="J8" s="3" t="inlineStr">
        <is>
          <t>AGUARDA APP — camada 2 validada (memória Rev.2 + F-18a)</t>
        </is>
      </c>
    </row>
    <row r="9">
      <c r="A9" s="3" t="inlineStr">
        <is>
          <t>V3b</t>
        </is>
      </c>
      <c r="B9" s="3" t="inlineStr">
        <is>
          <t>B</t>
        </is>
      </c>
      <c r="C9" s="3" t="inlineStr">
        <is>
          <t>não</t>
        </is>
      </c>
      <c r="D9" s="3" t="inlineStr">
        <is>
          <t>Fronteira III/IV — no corte (208)</t>
        </is>
      </c>
      <c r="E9" s="3" t="n">
        <v>208</v>
      </c>
      <c r="F9" s="3" t="inlineStr">
        <is>
          <t>III</t>
        </is>
      </c>
      <c r="G9" s="3" t="inlineStr"/>
      <c r="H9" s="3" t="inlineStr"/>
      <c r="I9" s="3" t="inlineStr"/>
      <c r="J9" s="3" t="inlineStr">
        <is>
          <t>AGUARDA APP — camada 2 validada (memória Rev.2 + F-18a)</t>
        </is>
      </c>
    </row>
    <row r="10">
      <c r="A10" s="3" t="inlineStr">
        <is>
          <t>V3c</t>
        </is>
      </c>
      <c r="B10" s="3" t="inlineStr">
        <is>
          <t>B</t>
        </is>
      </c>
      <c r="C10" s="3" t="inlineStr">
        <is>
          <t>não</t>
        </is>
      </c>
      <c r="D10" s="3" t="inlineStr">
        <is>
          <t>Fronteira III/IV — 1 acima (209)</t>
        </is>
      </c>
      <c r="E10" s="3" t="n">
        <v>209</v>
      </c>
      <c r="F10" s="3" t="inlineStr">
        <is>
          <t>IV</t>
        </is>
      </c>
      <c r="G10" s="3" t="inlineStr"/>
      <c r="H10" s="3" t="inlineStr"/>
      <c r="I10" s="3" t="inlineStr"/>
      <c r="J10" s="3" t="inlineStr">
        <is>
          <t>AGUARDA APP — camada 2 validada (memória Rev.2 + F-18a)</t>
        </is>
      </c>
    </row>
    <row r="11">
      <c r="A11" s="3" t="inlineStr">
        <is>
          <t>V4</t>
        </is>
      </c>
      <c r="B11" s="3" t="inlineStr">
        <is>
          <t>B</t>
        </is>
      </c>
      <c r="C11" s="3" t="inlineStr">
        <is>
          <t>não</t>
        </is>
      </c>
      <c r="D11" s="3" t="inlineStr">
        <is>
          <t>Pior caso sem banco (teto 275; Bloco 7 = +75). P4.1/P4.2 incluídos: o que se verifica é o ESCORE — IV por faixa e por Prevalência</t>
        </is>
      </c>
      <c r="E11" s="3" t="n">
        <v>275</v>
      </c>
      <c r="F11" s="3" t="inlineStr">
        <is>
          <t>IV</t>
        </is>
      </c>
      <c r="G11" s="3" t="inlineStr"/>
      <c r="H11" s="3" t="inlineStr"/>
      <c r="I11" s="3" t="inlineStr"/>
      <c r="J11" s="3" t="inlineStr">
        <is>
          <t>AGUARDA APP — camada 2 validada (memória Rev.2 + F-18a)</t>
        </is>
      </c>
    </row>
    <row r="12">
      <c r="A12" s="3" t="inlineStr">
        <is>
          <t>V5</t>
        </is>
      </c>
      <c r="B12" s="3" t="inlineStr">
        <is>
          <t>B</t>
        </is>
      </c>
      <c r="C12" s="3" t="inlineStr">
        <is>
          <t>não</t>
        </is>
      </c>
      <c r="D12" s="3" t="inlineStr">
        <is>
          <t>Melhor caso (tudo seguro, mitigações presentes, 7C ausente)</t>
        </is>
      </c>
      <c r="E12" s="3" t="n">
        <v>0</v>
      </c>
      <c r="F12" s="3" t="inlineStr">
        <is>
          <t>I</t>
        </is>
      </c>
      <c r="G12" s="3" t="inlineStr"/>
      <c r="H12" s="3" t="inlineStr"/>
      <c r="I12" s="3" t="inlineStr"/>
      <c r="J12" s="3" t="inlineStr">
        <is>
          <t>AGUARDA APP — camada 2 validada (memória Rev.2 + F-18a)</t>
        </is>
      </c>
    </row>
    <row r="13">
      <c r="A13" s="3" t="inlineStr">
        <is>
          <t>V6a</t>
        </is>
      </c>
      <c r="B13" s="3" t="inlineStr">
        <is>
          <t>B</t>
        </is>
      </c>
      <c r="C13" s="3" t="inlineStr">
        <is>
          <t>sim</t>
        </is>
      </c>
      <c r="D13" s="3" t="inlineStr">
        <is>
          <t>Com banco — fronteira I/II abaixo (64)</t>
        </is>
      </c>
      <c r="E13" s="3" t="n">
        <v>64</v>
      </c>
      <c r="F13" s="3" t="inlineStr">
        <is>
          <t>I</t>
        </is>
      </c>
      <c r="G13" s="3" t="inlineStr"/>
      <c r="H13" s="3" t="inlineStr"/>
      <c r="I13" s="3" t="inlineStr"/>
      <c r="J13" s="3" t="inlineStr">
        <is>
          <t>AGUARDA APP — camada 2 validada (memória Rev.2 + F-18a)</t>
        </is>
      </c>
    </row>
    <row r="14">
      <c r="A14" s="3" t="inlineStr">
        <is>
          <t>V6b</t>
        </is>
      </c>
      <c r="B14" s="3" t="inlineStr">
        <is>
          <t>B</t>
        </is>
      </c>
      <c r="C14" s="3" t="inlineStr">
        <is>
          <t>sim</t>
        </is>
      </c>
      <c r="D14" s="3" t="inlineStr">
        <is>
          <t>Com banco — fronteira I/II acima (65)</t>
        </is>
      </c>
      <c r="E14" s="3" t="n">
        <v>65</v>
      </c>
      <c r="F14" s="3" t="inlineStr">
        <is>
          <t>II</t>
        </is>
      </c>
      <c r="G14" s="3" t="inlineStr"/>
      <c r="H14" s="3" t="inlineStr"/>
      <c r="I14" s="3" t="inlineStr"/>
      <c r="J14" s="3" t="inlineStr">
        <is>
          <t>AGUARDA APP — camada 2 validada (memória Rev.2 + F-18a)</t>
        </is>
      </c>
    </row>
    <row r="15">
      <c r="A15" s="3" t="inlineStr">
        <is>
          <t>V6c</t>
        </is>
      </c>
      <c r="B15" s="3" t="inlineStr">
        <is>
          <t>B</t>
        </is>
      </c>
      <c r="C15" s="3" t="inlineStr">
        <is>
          <t>sim</t>
        </is>
      </c>
      <c r="D15" s="3" t="inlineStr">
        <is>
          <t>Com banco — fronteira II/III no corte (141)</t>
        </is>
      </c>
      <c r="E15" s="3" t="n">
        <v>141</v>
      </c>
      <c r="F15" s="3" t="inlineStr">
        <is>
          <t>II</t>
        </is>
      </c>
      <c r="G15" s="3" t="inlineStr"/>
      <c r="H15" s="3" t="inlineStr"/>
      <c r="I15" s="3" t="inlineStr"/>
      <c r="J15" s="3" t="inlineStr">
        <is>
          <t>AGUARDA APP — camada 2 validada (memória Rev.2 + F-18a)</t>
        </is>
      </c>
    </row>
    <row r="16">
      <c r="A16" s="3" t="inlineStr">
        <is>
          <t>V6d</t>
        </is>
      </c>
      <c r="B16" s="3" t="inlineStr">
        <is>
          <t>B</t>
        </is>
      </c>
      <c r="C16" s="3" t="inlineStr">
        <is>
          <t>sim</t>
        </is>
      </c>
      <c r="D16" s="3" t="inlineStr">
        <is>
          <t>Com banco — fronteira II/III acima (142)</t>
        </is>
      </c>
      <c r="E16" s="3" t="n">
        <v>142</v>
      </c>
      <c r="F16" s="3" t="inlineStr">
        <is>
          <t>III</t>
        </is>
      </c>
      <c r="G16" s="3" t="inlineStr"/>
      <c r="H16" s="3" t="inlineStr"/>
      <c r="I16" s="3" t="inlineStr"/>
      <c r="J16" s="3" t="inlineStr">
        <is>
          <t>AGUARDA APP — camada 2 validada (memória Rev.2 + F-18a)</t>
        </is>
      </c>
    </row>
    <row r="17">
      <c r="A17" s="3" t="inlineStr">
        <is>
          <t>V6e</t>
        </is>
      </c>
      <c r="B17" s="3" t="inlineStr">
        <is>
          <t>B</t>
        </is>
      </c>
      <c r="C17" s="3" t="inlineStr">
        <is>
          <t>sim</t>
        </is>
      </c>
      <c r="D17" s="3" t="inlineStr">
        <is>
          <t>Com banco — fronteira III/IV no corte (230)</t>
        </is>
      </c>
      <c r="E17" s="3" t="n">
        <v>230</v>
      </c>
      <c r="F17" s="3" t="inlineStr">
        <is>
          <t>III</t>
        </is>
      </c>
      <c r="G17" s="3" t="inlineStr"/>
      <c r="H17" s="3" t="inlineStr"/>
      <c r="I17" s="3" t="inlineStr"/>
      <c r="J17" s="3" t="inlineStr">
        <is>
          <t>AGUARDA APP — camada 2 validada (memória Rev.2 + F-18a)</t>
        </is>
      </c>
    </row>
    <row r="18">
      <c r="A18" s="3" t="inlineStr">
        <is>
          <t>V6f</t>
        </is>
      </c>
      <c r="B18" s="3" t="inlineStr">
        <is>
          <t>B</t>
        </is>
      </c>
      <c r="C18" s="3" t="inlineStr">
        <is>
          <t>sim</t>
        </is>
      </c>
      <c r="D18" s="3" t="inlineStr">
        <is>
          <t>Com banco — fronteira III/IV acima (231)</t>
        </is>
      </c>
      <c r="E18" s="3" t="n">
        <v>231</v>
      </c>
      <c r="F18" s="3" t="inlineStr">
        <is>
          <t>IV</t>
        </is>
      </c>
      <c r="G18" s="3" t="inlineStr"/>
      <c r="H18" s="3" t="inlineStr"/>
      <c r="I18" s="3" t="inlineStr"/>
      <c r="J18" s="3" t="inlineStr">
        <is>
          <t>AGUARDA APP — camada 2 validada (memória Rev.2 + F-18a)</t>
        </is>
      </c>
    </row>
    <row r="19">
      <c r="A19" s="3" t="inlineStr">
        <is>
          <t>V6g</t>
        </is>
      </c>
      <c r="B19" s="3" t="inlineStr">
        <is>
          <t>B</t>
        </is>
      </c>
      <c r="C19" s="3" t="inlineStr">
        <is>
          <t>sim</t>
        </is>
      </c>
      <c r="D19" s="3" t="inlineStr">
        <is>
          <t>Com banco — pior caso AVALIÁVEL (275+22; o 304 teórico inclui a eliminatória → V14). P4.1/P4.2 incluídos: verifica-se o ESCORE</t>
        </is>
      </c>
      <c r="E19" s="3" t="n">
        <v>297</v>
      </c>
      <c r="F19" s="3" t="inlineStr">
        <is>
          <t>IV</t>
        </is>
      </c>
      <c r="G19" s="3" t="inlineStr"/>
      <c r="H19" s="3" t="inlineStr"/>
      <c r="I19" s="3" t="inlineStr"/>
      <c r="J19" s="3" t="inlineStr">
        <is>
          <t>AGUARDA APP — camada 2 validada (memória Rev.2 + F-18a)</t>
        </is>
      </c>
    </row>
    <row r="20">
      <c r="A20" s="3" t="inlineStr">
        <is>
          <t>V7</t>
        </is>
      </c>
      <c r="B20" s="3" t="inlineStr">
        <is>
          <t>B</t>
        </is>
      </c>
      <c r="C20" s="3" t="inlineStr">
        <is>
          <t>sim</t>
        </is>
      </c>
      <c r="D20" s="3" t="inlineStr">
        <is>
          <t>Eliminatória P6.b.2 (sem Termo de Anuência) — mesmo com escore baixo</t>
        </is>
      </c>
      <c r="E20" s="3" t="inlineStr">
        <is>
          <t>—</t>
        </is>
      </c>
      <c r="F20" s="3" t="inlineStr">
        <is>
          <t>não avaliável</t>
        </is>
      </c>
      <c r="G20" s="3" t="inlineStr"/>
      <c r="H20" s="3" t="inlineStr"/>
      <c r="I20" s="3" t="inlineStr"/>
      <c r="J20" s="3" t="inlineStr">
        <is>
          <t>AGUARDA APP — camada 2 validada (memória Rev.2 + F-18a)</t>
        </is>
      </c>
    </row>
    <row r="21">
      <c r="A21" s="3" t="inlineStr">
        <is>
          <t>V8</t>
        </is>
      </c>
      <c r="B21" s="3" t="inlineStr">
        <is>
          <t>B</t>
        </is>
      </c>
      <c r="C21" s="3" t="inlineStr">
        <is>
          <t>não</t>
        </is>
      </c>
      <c r="D21" s="3" t="inlineStr">
        <is>
          <t>Eliminatória P2.8 (adaptativo sem plano de novo consentimento)</t>
        </is>
      </c>
      <c r="E21" s="3" t="inlineStr">
        <is>
          <t>—</t>
        </is>
      </c>
      <c r="F21" s="3" t="inlineStr">
        <is>
          <t>não avaliável</t>
        </is>
      </c>
      <c r="G21" s="3" t="inlineStr"/>
      <c r="H21" s="3" t="inlineStr"/>
      <c r="I21" s="3" t="inlineStr"/>
      <c r="J21" s="3" t="inlineStr">
        <is>
          <t>AGUARDA APP — camada 2 validada (memória Rev.2 + F-18a)</t>
        </is>
      </c>
    </row>
    <row r="22">
      <c r="A22" s="3" t="inlineStr">
        <is>
          <t>V9</t>
        </is>
      </c>
      <c r="B22" s="3" t="inlineStr">
        <is>
          <t>B</t>
        </is>
      </c>
      <c r="C22" s="3" t="inlineStr">
        <is>
          <t>não</t>
        </is>
      </c>
      <c r="D22" s="3" t="inlineStr">
        <is>
          <t>N/A em P6.12/P6.13 — não pontua e não altera faixa (idêntico a V1b)</t>
        </is>
      </c>
      <c r="E22" s="3" t="n">
        <v>58</v>
      </c>
      <c r="F22" s="3" t="inlineStr">
        <is>
          <t>I</t>
        </is>
      </c>
      <c r="G22" s="3" t="inlineStr"/>
      <c r="H22" s="3" t="inlineStr"/>
      <c r="I22" s="3" t="inlineStr"/>
      <c r="J22" s="3" t="inlineStr">
        <is>
          <t>AGUARDA APP — camada 2 validada (memória Rev.2 + F-18a)</t>
        </is>
      </c>
    </row>
    <row r="23">
      <c r="A23" s="3" t="inlineStr">
        <is>
          <t>V10</t>
        </is>
      </c>
      <c r="B23" s="3" t="inlineStr">
        <is>
          <t>B</t>
        </is>
      </c>
      <c r="C23" s="3" t="inlineStr">
        <is>
          <t>não</t>
        </is>
      </c>
      <c r="D23" s="3" t="inlineStr">
        <is>
          <t>Contrato descritiva: C.1–C.8 no pior valor → escore idêntico a V5 (trava anti-vazamento)</t>
        </is>
      </c>
      <c r="E23" s="3" t="n">
        <v>0</v>
      </c>
      <c r="F23" s="3" t="inlineStr">
        <is>
          <t>I</t>
        </is>
      </c>
      <c r="G23" s="3" t="inlineStr"/>
      <c r="H23" s="3" t="inlineStr"/>
      <c r="I23" s="3" t="inlineStr"/>
      <c r="J23" s="3" t="inlineStr">
        <is>
          <t>AGUARDA APP — camada 2 validada (memória Rev.2 + F-18a)</t>
        </is>
      </c>
    </row>
    <row r="24">
      <c r="A24" s="3" t="inlineStr">
        <is>
          <t>V11</t>
        </is>
      </c>
      <c r="B24" s="3" t="inlineStr">
        <is>
          <t>B</t>
        </is>
      </c>
      <c r="C24" s="3" t="inlineStr">
        <is>
          <t>não</t>
        </is>
      </c>
      <c r="D24" s="3" t="inlineStr">
        <is>
          <t>7C todas presentes + 7B todas presentes: raw −88 → piso clampado em 0, sem negativo</t>
        </is>
      </c>
      <c r="E24" s="3" t="n">
        <v>0</v>
      </c>
      <c r="F24" s="3" t="inlineStr">
        <is>
          <t>I</t>
        </is>
      </c>
      <c r="G24" s="3" t="inlineStr"/>
      <c r="H24" s="3" t="inlineStr"/>
      <c r="I24" s="3" t="inlineStr"/>
      <c r="J24" s="3" t="inlineStr">
        <is>
          <t>AGUARDA APP — camada 2 validada (memória Rev.2 + F-18a)</t>
        </is>
      </c>
    </row>
    <row r="25">
      <c r="A25" s="3" t="inlineStr">
        <is>
          <t>V12</t>
        </is>
      </c>
      <c r="B25" s="3" t="inlineStr">
        <is>
          <t>B</t>
        </is>
      </c>
      <c r="C25" s="3" t="inlineStr">
        <is>
          <t>não</t>
        </is>
      </c>
      <c r="D25" s="3" t="inlineStr">
        <is>
          <t>7C todas ausentes no pior caso: NÃO infla o teto (275, não 298) — trava do cenário A. Verifica-se o ESCORE</t>
        </is>
      </c>
      <c r="E25" s="3" t="n">
        <v>275</v>
      </c>
      <c r="F25" s="3" t="inlineStr">
        <is>
          <t>IV</t>
        </is>
      </c>
      <c r="G25" s="3" t="inlineStr"/>
      <c r="H25" s="3" t="inlineStr"/>
      <c r="I25" s="3" t="inlineStr"/>
      <c r="J25" s="3" t="inlineStr">
        <is>
          <t>AGUARDA APP — camada 2 validada (memória Rev.2 + F-18a)</t>
        </is>
      </c>
    </row>
    <row r="26">
      <c r="A26" s="3" t="inlineStr">
        <is>
          <t>V13</t>
        </is>
      </c>
      <c r="B26" s="3" t="inlineStr">
        <is>
          <t>B</t>
        </is>
      </c>
      <c r="C26" s="3" t="inlineStr">
        <is>
          <t>não</t>
        </is>
      </c>
      <c r="D26" s="3" t="inlineStr">
        <is>
          <t>P4.1 = Sim com escore 3 (faixa I): Cláusula de Prevalência força Nível IV</t>
        </is>
      </c>
      <c r="E26" s="3" t="n">
        <v>3</v>
      </c>
      <c r="F26" s="3" t="inlineStr">
        <is>
          <t>IV (Prevalência)</t>
        </is>
      </c>
      <c r="G26" s="3" t="inlineStr"/>
      <c r="H26" s="3" t="inlineStr"/>
      <c r="I26" s="3" t="inlineStr"/>
      <c r="J26" s="3" t="inlineStr">
        <is>
          <t>AGUARDA APP — camada 2 validada (memória Rev.2 + F-18a)</t>
        </is>
      </c>
    </row>
    <row r="27">
      <c r="A27" s="3" t="inlineStr">
        <is>
          <t>V14</t>
        </is>
      </c>
      <c r="B27" s="3" t="inlineStr">
        <is>
          <t>B</t>
        </is>
      </c>
      <c r="C27" s="3" t="inlineStr">
        <is>
          <t>sim</t>
        </is>
      </c>
      <c r="D27" s="3" t="inlineStr">
        <is>
          <t>Eliminatória + escore alto (304 com P6.b.2 violada): vence não avaliável, nunca IV</t>
        </is>
      </c>
      <c r="E27" s="3" t="inlineStr">
        <is>
          <t>—</t>
        </is>
      </c>
      <c r="F27" s="3" t="inlineStr">
        <is>
          <t>não avaliável</t>
        </is>
      </c>
      <c r="G27" s="3" t="inlineStr"/>
      <c r="H27" s="3" t="inlineStr"/>
      <c r="I27" s="3" t="inlineStr"/>
      <c r="J27" s="3" t="inlineStr">
        <is>
          <t>AGUARDA APP — camada 2 validada (memória Rev.2 + F-18a)</t>
        </is>
      </c>
    </row>
    <row r="28">
      <c r="A28" s="3" t="inlineStr">
        <is>
          <t>V15</t>
        </is>
      </c>
      <c r="B28" s="3" t="inlineStr">
        <is>
          <t>B</t>
        </is>
      </c>
      <c r="C28" s="3" t="inlineStr">
        <is>
          <t>sim</t>
        </is>
      </c>
      <c r="D28" s="3" t="inlineStr">
        <is>
          <t>Checklist TCLE parcial (8 de 9 critérios): devolução, NÃO pontua</t>
        </is>
      </c>
      <c r="E28" s="3" t="inlineStr">
        <is>
          <t>—</t>
        </is>
      </c>
      <c r="F28" s="3" t="inlineStr">
        <is>
          <t>não avaliável (devolução)</t>
        </is>
      </c>
      <c r="G28" s="3" t="inlineStr"/>
      <c r="H28" s="3" t="inlineStr"/>
      <c r="I28" s="3" t="inlineStr"/>
      <c r="J28" s="3" t="inlineStr">
        <is>
          <t>AGUARDA APP — camada 2 validada (memória Rev.2 + F-18a)</t>
        </is>
      </c>
    </row>
    <row r="29">
      <c r="A29" s="3" t="inlineStr">
        <is>
          <t>V20</t>
        </is>
      </c>
      <c r="B29" s="3" t="inlineStr">
        <is>
          <t>B</t>
        </is>
      </c>
      <c r="C29" s="3" t="inlineStr">
        <is>
          <t>sim</t>
        </is>
      </c>
      <c r="D29" s="3" t="inlineStr">
        <is>
          <t>Diligência P6.b.4.1 = 'Não' (acesso a identificáveis NÃO indispensável): devolução, não pontua</t>
        </is>
      </c>
      <c r="E29" s="3" t="inlineStr">
        <is>
          <t>—</t>
        </is>
      </c>
      <c r="F29" s="3" t="inlineStr">
        <is>
          <t>não avaliável (devolução)</t>
        </is>
      </c>
      <c r="G29" s="3" t="inlineStr"/>
      <c r="H29" s="3" t="inlineStr"/>
      <c r="I29" s="3" t="inlineStr"/>
      <c r="J29" s="3" t="inlineStr">
        <is>
          <t>AGUARDA APP — camada 2 validada (memória Rev.2 + F-18a)</t>
        </is>
      </c>
    </row>
    <row r="30">
      <c r="A30" s="3" t="inlineStr">
        <is>
          <t>V21</t>
        </is>
      </c>
      <c r="B30" s="3" t="inlineStr">
        <is>
          <t>B</t>
        </is>
      </c>
      <c r="C30" s="3" t="inlineStr">
        <is>
          <t>sim</t>
        </is>
      </c>
      <c r="D30" s="3" t="inlineStr">
        <is>
          <t>Diligência P6.b.7 = 'Não' (sem declaração do Controlador): devolução, não pontua</t>
        </is>
      </c>
      <c r="E30" s="3" t="inlineStr">
        <is>
          <t>—</t>
        </is>
      </c>
      <c r="F30" s="3" t="inlineStr">
        <is>
          <t>não avaliável (devolução)</t>
        </is>
      </c>
      <c r="G30" s="3" t="inlineStr"/>
      <c r="H30" s="3" t="inlineStr"/>
      <c r="I30" s="3" t="inlineStr"/>
      <c r="J30" s="3" t="inlineStr">
        <is>
          <t>AGUARDA APP — camada 2 validada (memória Rev.2 + F-18a)</t>
        </is>
      </c>
    </row>
    <row r="31">
      <c r="A31" s="3" t="inlineStr">
        <is>
          <t>V22</t>
        </is>
      </c>
      <c r="B31" s="3" t="inlineStr">
        <is>
          <t>B</t>
        </is>
      </c>
      <c r="C31" s="3" t="inlineStr">
        <is>
          <t>sim</t>
        </is>
      </c>
      <c r="D31" s="3" t="inlineStr">
        <is>
          <t>Diligência violada + escore alto (297, teto avaliável): vence não avaliável, nunca IV (espelho do V14 para diligências)</t>
        </is>
      </c>
      <c r="E31" s="3" t="inlineStr">
        <is>
          <t>—</t>
        </is>
      </c>
      <c r="F31" s="3" t="inlineStr">
        <is>
          <t>não avaliável (devolução)</t>
        </is>
      </c>
      <c r="G31" s="3" t="inlineStr"/>
      <c r="H31" s="3" t="inlineStr"/>
      <c r="I31" s="3" t="inlineStr"/>
      <c r="J31" s="3" t="inlineStr">
        <is>
          <t>AGUARDA APP — camada 2 validada (memória Rev.2 + F-18a)</t>
        </is>
      </c>
    </row>
    <row r="32">
      <c r="A32" s="3" t="inlineStr">
        <is>
          <t>V23</t>
        </is>
      </c>
      <c r="B32" s="3" t="inlineStr">
        <is>
          <t>B</t>
        </is>
      </c>
      <c r="C32" s="3" t="inlineStr">
        <is>
          <t>sim</t>
        </is>
      </c>
      <c r="D32" s="3" t="inlineStr">
        <is>
          <t>Sem pedido de dispensa: P6.b.4 = N/A (F-18a) → 0 pts; P6.b.4.1 e P6.b.6 OCULTAS (não exibidas, não respondidas); P6.b.7 aplica-se (banco) = Sim. Escore 75 → II</t>
        </is>
      </c>
      <c r="E32" s="3" t="n">
        <v>75</v>
      </c>
      <c r="F32" s="3" t="inlineStr">
        <is>
          <t>II</t>
        </is>
      </c>
      <c r="G32" s="3" t="inlineStr"/>
      <c r="H32" s="3" t="inlineStr"/>
      <c r="I32" s="3" t="inlineStr"/>
      <c r="J32" s="3" t="inlineStr">
        <is>
          <t>AGUARDA APP — camada 2 validada (memória Rev.2 + F-18a)</t>
        </is>
      </c>
    </row>
    <row r="33">
      <c r="A33" s="3" t="inlineStr">
        <is>
          <t>V16</t>
        </is>
      </c>
      <c r="B33" s="3" t="inlineStr">
        <is>
          <t>B</t>
        </is>
      </c>
      <c r="C33" s="3" t="inlineStr">
        <is>
          <t>—</t>
        </is>
      </c>
      <c r="D33" s="3" t="inlineStr">
        <is>
          <t>Arredondamento .5: meia-unidade para cima sobre frações do baseline (50/238, 110/238, 180/238). Ex.: 110/238 × 304 = 140,5 → 141.</t>
        </is>
      </c>
      <c r="E33" s="3" t="inlineStr">
        <is>
          <t>64 / 141 / 230</t>
        </is>
      </c>
      <c r="F33" s="3" t="inlineStr">
        <is>
          <t>cortes com banco reproduzidos</t>
        </is>
      </c>
      <c r="G33" s="3" t="inlineStr"/>
      <c r="H33" s="3" t="inlineStr"/>
      <c r="I33" s="3" t="inlineStr"/>
      <c r="J33" s="3" t="inlineStr">
        <is>
          <t>AGUARDA APP — camada 2 validada (memória Rev.2 + F-18a)</t>
        </is>
      </c>
    </row>
    <row r="34">
      <c r="A34" s="3" t="inlineStr">
        <is>
          <t>V17</t>
        </is>
      </c>
      <c r="B34" s="3" t="inlineStr">
        <is>
          <t>A</t>
        </is>
      </c>
      <c r="C34" s="3" t="inlineStr">
        <is>
          <t>—</t>
        </is>
      </c>
      <c r="D34" s="3" t="inlineStr">
        <is>
          <t>Fronteiras de contagem por eixo (0/1/2/3/4/5) com Eixo 2 = 12 e Eixo 3 = 13 perguntas; regra especial do 3.b; cortes absolutos mantidos (D-1 confirmado).</t>
        </is>
      </c>
      <c r="E34" s="3" t="inlineStr">
        <is>
          <t>—</t>
        </is>
      </c>
      <c r="F34" s="3" t="inlineStr">
        <is>
          <t>ver aba V17_VersaoA</t>
        </is>
      </c>
      <c r="G34" s="3" t="inlineStr"/>
      <c r="H34" s="3" t="inlineStr"/>
      <c r="I34" s="3" t="inlineStr"/>
      <c r="J34" s="3" t="inlineStr">
        <is>
          <t>AGUARDA APP — camada 2 validada (memória Rev.2 + F-18a)</t>
        </is>
      </c>
    </row>
    <row r="35">
      <c r="A35" s="3" t="inlineStr">
        <is>
          <t>V18</t>
        </is>
      </c>
      <c r="B35" s="3" t="inlineStr">
        <is>
          <t>A/B</t>
        </is>
      </c>
      <c r="C35" s="3" t="inlineStr">
        <is>
          <t>—</t>
        </is>
      </c>
      <c r="D35" s="3" t="inlineStr">
        <is>
          <t>Mapa de IDs antigos→novos: export v1 relido sob CHANGELOG v2.</t>
        </is>
      </c>
      <c r="E35" s="3" t="inlineStr">
        <is>
          <t>—</t>
        </is>
      </c>
      <c r="F35" s="3" t="inlineStr">
        <is>
          <t>ver aba V18_MapaIDs</t>
        </is>
      </c>
      <c r="G35" s="3" t="inlineStr"/>
      <c r="H35" s="3" t="inlineStr"/>
      <c r="I35" s="3" t="inlineStr"/>
      <c r="J35" s="3" t="inlineStr">
        <is>
          <t>PENDENTE (aguarda CHANGELOG v2)</t>
        </is>
      </c>
    </row>
    <row r="36">
      <c r="A36" s="3" t="inlineStr">
        <is>
          <t>V19</t>
        </is>
      </c>
      <c r="B36" s="3" t="inlineStr">
        <is>
          <t>A→B</t>
        </is>
      </c>
      <c r="C36" s="3" t="inlineStr">
        <is>
          <t>—</t>
        </is>
      </c>
      <c r="D36" s="3" t="inlineStr">
        <is>
          <t>Vetor auxiliar (CONFIRMADO pela engenharia, 15/08): modo Triagem A→B com protocolo III em A → relatório combinado coerente pós-mudança (plano §9.6.6).</t>
        </is>
      </c>
      <c r="E36" s="3" t="inlineStr">
        <is>
          <t>—</t>
        </is>
      </c>
      <c r="F36" s="3" t="inlineStr">
        <is>
          <t>relatório combinado coerente</t>
        </is>
      </c>
      <c r="G36" s="3" t="inlineStr"/>
      <c r="H36" s="3" t="inlineStr"/>
      <c r="I36" s="3" t="inlineStr"/>
      <c r="J36" s="3" t="inlineStr">
        <is>
          <t>AGUARDA APP — camada 2 validada (memória Rev.2 + F-18a)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11" customWidth="1" min="4" max="4"/>
    <col width="17" customWidth="1" min="5" max="5"/>
    <col width="12" customWidth="1" min="6" max="6"/>
    <col width="52" customWidth="1" min="7" max="7"/>
  </cols>
  <sheetData>
    <row r="1">
      <c r="A1" s="2" t="inlineStr">
        <is>
          <t>id</t>
        </is>
      </c>
      <c r="B1" s="2" t="inlineStr">
        <is>
          <t>bloco</t>
        </is>
      </c>
      <c r="C1" s="2" t="inlineStr">
        <is>
          <t>pontos</t>
        </is>
      </c>
      <c r="D1" s="2" t="inlineStr">
        <is>
          <t>efeito</t>
        </is>
      </c>
      <c r="E1" s="2" t="inlineStr">
        <is>
          <t>resposta_de_risco</t>
        </is>
      </c>
      <c r="F1" s="2" t="inlineStr">
        <is>
          <t>eliminatório</t>
        </is>
      </c>
      <c r="G1" s="2" t="inlineStr">
        <is>
          <t>nota</t>
        </is>
      </c>
    </row>
    <row r="2">
      <c r="A2" t="inlineStr">
        <is>
          <t>P1.1</t>
        </is>
      </c>
      <c r="B2" t="inlineStr">
        <is>
          <t>1</t>
        </is>
      </c>
      <c r="C2" t="n">
        <v>3</v>
      </c>
      <c r="D2" t="inlineStr">
        <is>
          <t>risco</t>
        </is>
      </c>
      <c r="E2" t="inlineStr">
        <is>
          <t>Não</t>
        </is>
      </c>
    </row>
    <row r="3">
      <c r="A3" t="inlineStr">
        <is>
          <t>P1.2</t>
        </is>
      </c>
      <c r="B3" t="inlineStr">
        <is>
          <t>1</t>
        </is>
      </c>
      <c r="C3" t="n">
        <v>3</v>
      </c>
      <c r="D3" t="inlineStr">
        <is>
          <t>risco</t>
        </is>
      </c>
      <c r="E3" t="inlineStr">
        <is>
          <t>Não</t>
        </is>
      </c>
    </row>
    <row r="4">
      <c r="A4" t="inlineStr">
        <is>
          <t>P1.3</t>
        </is>
      </c>
      <c r="B4" t="inlineStr">
        <is>
          <t>1</t>
        </is>
      </c>
      <c r="C4" t="n">
        <v>3</v>
      </c>
      <c r="D4" t="inlineStr">
        <is>
          <t>risco</t>
        </is>
      </c>
      <c r="E4" t="inlineStr">
        <is>
          <t>Não</t>
        </is>
      </c>
    </row>
    <row r="5">
      <c r="A5" t="inlineStr">
        <is>
          <t>P1.4</t>
        </is>
      </c>
      <c r="B5" t="inlineStr">
        <is>
          <t>1</t>
        </is>
      </c>
      <c r="C5" t="n">
        <v>3</v>
      </c>
      <c r="D5" t="inlineStr">
        <is>
          <t>risco</t>
        </is>
      </c>
      <c r="E5" t="inlineStr">
        <is>
          <t>Não</t>
        </is>
      </c>
    </row>
    <row r="6">
      <c r="A6" t="inlineStr">
        <is>
          <t>P1.5</t>
        </is>
      </c>
      <c r="B6" t="inlineStr">
        <is>
          <t>1</t>
        </is>
      </c>
      <c r="C6" t="n">
        <v>3</v>
      </c>
      <c r="D6" t="inlineStr">
        <is>
          <t>risco</t>
        </is>
      </c>
      <c r="E6" t="inlineStr">
        <is>
          <t>Não</t>
        </is>
      </c>
    </row>
    <row r="7">
      <c r="A7" t="inlineStr">
        <is>
          <t>P1.6</t>
        </is>
      </c>
      <c r="B7" t="inlineStr">
        <is>
          <t>1</t>
        </is>
      </c>
      <c r="C7" t="n">
        <v>3</v>
      </c>
      <c r="D7" t="inlineStr">
        <is>
          <t>risco</t>
        </is>
      </c>
      <c r="E7" t="inlineStr">
        <is>
          <t>Não</t>
        </is>
      </c>
    </row>
    <row r="8">
      <c r="A8" t="inlineStr">
        <is>
          <t>P1.7</t>
        </is>
      </c>
      <c r="B8" t="inlineStr">
        <is>
          <t>1</t>
        </is>
      </c>
      <c r="C8" t="n">
        <v>4</v>
      </c>
      <c r="D8" t="inlineStr">
        <is>
          <t>risco</t>
        </is>
      </c>
      <c r="E8" t="inlineStr">
        <is>
          <t>Não</t>
        </is>
      </c>
    </row>
    <row r="9">
      <c r="A9" t="inlineStr">
        <is>
          <t>P2.1</t>
        </is>
      </c>
      <c r="B9" t="inlineStr">
        <is>
          <t>2</t>
        </is>
      </c>
      <c r="C9" t="n">
        <v>3</v>
      </c>
      <c r="D9" t="inlineStr">
        <is>
          <t>risco</t>
        </is>
      </c>
      <c r="E9" t="inlineStr">
        <is>
          <t>Sim</t>
        </is>
      </c>
    </row>
    <row r="10">
      <c r="A10" t="inlineStr">
        <is>
          <t>P2.2</t>
        </is>
      </c>
      <c r="B10" t="inlineStr">
        <is>
          <t>2</t>
        </is>
      </c>
      <c r="C10" t="n">
        <v>3</v>
      </c>
      <c r="D10" t="inlineStr">
        <is>
          <t>risco</t>
        </is>
      </c>
      <c r="E10" t="inlineStr">
        <is>
          <t>Sim</t>
        </is>
      </c>
    </row>
    <row r="11">
      <c r="A11" t="inlineStr">
        <is>
          <t>P2.3</t>
        </is>
      </c>
      <c r="B11" t="inlineStr">
        <is>
          <t>2</t>
        </is>
      </c>
      <c r="C11" t="n">
        <v>3</v>
      </c>
      <c r="D11" t="inlineStr">
        <is>
          <t>risco</t>
        </is>
      </c>
      <c r="E11" t="inlineStr">
        <is>
          <t>Sim</t>
        </is>
      </c>
    </row>
    <row r="12">
      <c r="A12" t="inlineStr">
        <is>
          <t>P2.4</t>
        </is>
      </c>
      <c r="B12" t="inlineStr">
        <is>
          <t>2</t>
        </is>
      </c>
      <c r="C12" t="n">
        <v>2</v>
      </c>
      <c r="D12" t="inlineStr">
        <is>
          <t>risco</t>
        </is>
      </c>
      <c r="E12" t="inlineStr">
        <is>
          <t>Não</t>
        </is>
      </c>
    </row>
    <row r="13">
      <c r="A13" t="inlineStr">
        <is>
          <t>P2.5</t>
        </is>
      </c>
      <c r="B13" t="inlineStr">
        <is>
          <t>2</t>
        </is>
      </c>
      <c r="C13" t="n">
        <v>2</v>
      </c>
      <c r="D13" t="inlineStr">
        <is>
          <t>risco</t>
        </is>
      </c>
      <c r="E13" t="inlineStr">
        <is>
          <t>Não</t>
        </is>
      </c>
    </row>
    <row r="14">
      <c r="A14" t="inlineStr">
        <is>
          <t>P2.6</t>
        </is>
      </c>
      <c r="B14" t="inlineStr">
        <is>
          <t>2</t>
        </is>
      </c>
      <c r="C14" t="n">
        <v>2</v>
      </c>
      <c r="D14" t="inlineStr">
        <is>
          <t>risco</t>
        </is>
      </c>
      <c r="E14" t="inlineStr">
        <is>
          <t>Não</t>
        </is>
      </c>
    </row>
    <row r="15">
      <c r="A15" t="inlineStr">
        <is>
          <t>P2.7</t>
        </is>
      </c>
      <c r="B15" t="inlineStr">
        <is>
          <t>2</t>
        </is>
      </c>
      <c r="C15" t="n">
        <v>2</v>
      </c>
      <c r="D15" t="inlineStr">
        <is>
          <t>risco</t>
        </is>
      </c>
      <c r="E15" t="inlineStr">
        <is>
          <t>Não</t>
        </is>
      </c>
    </row>
    <row r="16">
      <c r="A16" t="inlineStr">
        <is>
          <t>P2.8</t>
        </is>
      </c>
      <c r="B16" t="inlineStr">
        <is>
          <t>2</t>
        </is>
      </c>
      <c r="C16" t="n">
        <v>0</v>
      </c>
      <c r="D16" t="inlineStr">
        <is>
          <t>risco</t>
        </is>
      </c>
      <c r="E16" t="inlineStr">
        <is>
          <t>Não</t>
        </is>
      </c>
      <c r="F16" t="inlineStr">
        <is>
          <t>SIM</t>
        </is>
      </c>
      <c r="G16" t="inlineStr">
        <is>
          <t>[ELIMINATÓRIO] plano de novo consentimento (só se P2.2 = Sim)</t>
        </is>
      </c>
    </row>
    <row r="17">
      <c r="A17" t="inlineStr">
        <is>
          <t>P3.1</t>
        </is>
      </c>
      <c r="B17" t="inlineStr">
        <is>
          <t>3</t>
        </is>
      </c>
      <c r="C17" t="n">
        <v>2</v>
      </c>
      <c r="D17" t="inlineStr">
        <is>
          <t>risco</t>
        </is>
      </c>
      <c r="E17" t="inlineStr">
        <is>
          <t>Sim</t>
        </is>
      </c>
    </row>
    <row r="18">
      <c r="A18" t="inlineStr">
        <is>
          <t>P3.2</t>
        </is>
      </c>
      <c r="B18" t="inlineStr">
        <is>
          <t>3</t>
        </is>
      </c>
      <c r="C18" t="n">
        <v>2</v>
      </c>
      <c r="D18" t="inlineStr">
        <is>
          <t>risco</t>
        </is>
      </c>
      <c r="E18" t="inlineStr">
        <is>
          <t>Sim</t>
        </is>
      </c>
    </row>
    <row r="19">
      <c r="A19" t="inlineStr">
        <is>
          <t>P3.3</t>
        </is>
      </c>
      <c r="B19" t="inlineStr">
        <is>
          <t>3</t>
        </is>
      </c>
      <c r="C19" t="n">
        <v>2</v>
      </c>
      <c r="D19" t="inlineStr">
        <is>
          <t>risco</t>
        </is>
      </c>
      <c r="E19" t="inlineStr">
        <is>
          <t>Não</t>
        </is>
      </c>
    </row>
    <row r="20">
      <c r="A20" t="inlineStr">
        <is>
          <t>P3.4</t>
        </is>
      </c>
      <c r="B20" t="inlineStr">
        <is>
          <t>3</t>
        </is>
      </c>
      <c r="C20" t="n">
        <v>2</v>
      </c>
      <c r="D20" t="inlineStr">
        <is>
          <t>risco</t>
        </is>
      </c>
      <c r="E20" t="inlineStr">
        <is>
          <t>Não</t>
        </is>
      </c>
    </row>
    <row r="21">
      <c r="A21" t="inlineStr">
        <is>
          <t>P3.5</t>
        </is>
      </c>
      <c r="B21" t="inlineStr">
        <is>
          <t>3</t>
        </is>
      </c>
      <c r="C21" t="n">
        <v>2</v>
      </c>
      <c r="D21" t="inlineStr">
        <is>
          <t>risco</t>
        </is>
      </c>
      <c r="E21" t="inlineStr">
        <is>
          <t>Não</t>
        </is>
      </c>
    </row>
    <row r="22">
      <c r="A22" t="inlineStr">
        <is>
          <t>P3.6</t>
        </is>
      </c>
      <c r="B22" t="inlineStr">
        <is>
          <t>3</t>
        </is>
      </c>
      <c r="C22" t="n">
        <v>2</v>
      </c>
      <c r="D22" t="inlineStr">
        <is>
          <t>risco</t>
        </is>
      </c>
      <c r="E22" t="inlineStr">
        <is>
          <t>Não</t>
        </is>
      </c>
    </row>
    <row r="23">
      <c r="A23" t="inlineStr">
        <is>
          <t>P3.7</t>
        </is>
      </c>
      <c r="B23" t="inlineStr">
        <is>
          <t>3</t>
        </is>
      </c>
      <c r="C23" t="n">
        <v>2</v>
      </c>
      <c r="D23" t="inlineStr">
        <is>
          <t>risco</t>
        </is>
      </c>
      <c r="E23" t="inlineStr">
        <is>
          <t>Não</t>
        </is>
      </c>
    </row>
    <row r="24">
      <c r="A24" t="inlineStr">
        <is>
          <t>P4.1</t>
        </is>
      </c>
      <c r="B24" t="inlineStr">
        <is>
          <t>4</t>
        </is>
      </c>
      <c r="C24" t="n">
        <v>3</v>
      </c>
      <c r="D24" t="inlineStr">
        <is>
          <t>risco</t>
        </is>
      </c>
      <c r="E24" t="inlineStr">
        <is>
          <t>Sim</t>
        </is>
      </c>
      <c r="G24" t="inlineStr">
        <is>
          <t>Prevalência Ética</t>
        </is>
      </c>
    </row>
    <row r="25">
      <c r="A25" t="inlineStr">
        <is>
          <t>P4.2</t>
        </is>
      </c>
      <c r="B25" t="inlineStr">
        <is>
          <t>4</t>
        </is>
      </c>
      <c r="C25" t="n">
        <v>3</v>
      </c>
      <c r="D25" t="inlineStr">
        <is>
          <t>risco</t>
        </is>
      </c>
      <c r="E25" t="inlineStr">
        <is>
          <t>Sim</t>
        </is>
      </c>
      <c r="G25" t="inlineStr">
        <is>
          <t>Prevalência Ética</t>
        </is>
      </c>
    </row>
    <row r="26">
      <c r="A26" t="inlineStr">
        <is>
          <t>P4.3</t>
        </is>
      </c>
      <c r="B26" t="inlineStr">
        <is>
          <t>4</t>
        </is>
      </c>
      <c r="C26" t="n">
        <v>2</v>
      </c>
      <c r="D26" t="inlineStr">
        <is>
          <t>risco</t>
        </is>
      </c>
      <c r="E26" t="inlineStr">
        <is>
          <t>Não</t>
        </is>
      </c>
    </row>
    <row r="27">
      <c r="A27" t="inlineStr">
        <is>
          <t>P5.1</t>
        </is>
      </c>
      <c r="B27" t="inlineStr">
        <is>
          <t>5</t>
        </is>
      </c>
      <c r="C27" t="n">
        <v>6</v>
      </c>
      <c r="D27" t="inlineStr">
        <is>
          <t>risco</t>
        </is>
      </c>
      <c r="E27" t="inlineStr">
        <is>
          <t>Sim</t>
        </is>
      </c>
    </row>
    <row r="28">
      <c r="A28" t="inlineStr">
        <is>
          <t>P5.2</t>
        </is>
      </c>
      <c r="B28" t="inlineStr">
        <is>
          <t>5</t>
        </is>
      </c>
      <c r="C28" t="n">
        <v>6</v>
      </c>
      <c r="D28" t="inlineStr">
        <is>
          <t>risco</t>
        </is>
      </c>
      <c r="E28" t="inlineStr">
        <is>
          <t>Sim</t>
        </is>
      </c>
    </row>
    <row r="29">
      <c r="A29" t="inlineStr">
        <is>
          <t>P5.3</t>
        </is>
      </c>
      <c r="B29" t="inlineStr">
        <is>
          <t>5</t>
        </is>
      </c>
      <c r="C29" t="n">
        <v>6</v>
      </c>
      <c r="D29" t="inlineStr">
        <is>
          <t>risco</t>
        </is>
      </c>
      <c r="E29" t="inlineStr">
        <is>
          <t>Sim</t>
        </is>
      </c>
    </row>
    <row r="30">
      <c r="A30" t="inlineStr">
        <is>
          <t>P5.4</t>
        </is>
      </c>
      <c r="B30" t="inlineStr">
        <is>
          <t>5</t>
        </is>
      </c>
      <c r="C30" t="n">
        <v>6</v>
      </c>
      <c r="D30" t="inlineStr">
        <is>
          <t>risco</t>
        </is>
      </c>
      <c r="E30" t="inlineStr">
        <is>
          <t>Sim</t>
        </is>
      </c>
    </row>
    <row r="31">
      <c r="A31" t="inlineStr">
        <is>
          <t>P5.5</t>
        </is>
      </c>
      <c r="B31" t="inlineStr">
        <is>
          <t>5</t>
        </is>
      </c>
      <c r="C31" t="n">
        <v>6</v>
      </c>
      <c r="D31" t="inlineStr">
        <is>
          <t>risco</t>
        </is>
      </c>
      <c r="E31" t="inlineStr">
        <is>
          <t>Sim</t>
        </is>
      </c>
    </row>
    <row r="32">
      <c r="A32" t="inlineStr">
        <is>
          <t>P5.6</t>
        </is>
      </c>
      <c r="B32" t="inlineStr">
        <is>
          <t>5</t>
        </is>
      </c>
      <c r="C32" t="n">
        <v>5</v>
      </c>
      <c r="D32" t="inlineStr">
        <is>
          <t>risco</t>
        </is>
      </c>
      <c r="E32" t="inlineStr">
        <is>
          <t>Não</t>
        </is>
      </c>
    </row>
    <row r="33">
      <c r="A33" t="inlineStr">
        <is>
          <t>P5.7</t>
        </is>
      </c>
      <c r="B33" t="inlineStr">
        <is>
          <t>5</t>
        </is>
      </c>
      <c r="C33" t="n">
        <v>5</v>
      </c>
      <c r="D33" t="inlineStr">
        <is>
          <t>risco</t>
        </is>
      </c>
      <c r="E33" t="inlineStr">
        <is>
          <t>Não</t>
        </is>
      </c>
    </row>
    <row r="34">
      <c r="A34" t="inlineStr">
        <is>
          <t>P5.8</t>
        </is>
      </c>
      <c r="B34" t="inlineStr">
        <is>
          <t>5</t>
        </is>
      </c>
      <c r="C34" t="n">
        <v>6</v>
      </c>
      <c r="D34" t="inlineStr">
        <is>
          <t>risco</t>
        </is>
      </c>
      <c r="E34" t="inlineStr">
        <is>
          <t>Não</t>
        </is>
      </c>
    </row>
    <row r="35">
      <c r="A35" t="inlineStr">
        <is>
          <t>P5.9</t>
        </is>
      </c>
      <c r="B35" t="inlineStr">
        <is>
          <t>5</t>
        </is>
      </c>
      <c r="C35" t="n">
        <v>6</v>
      </c>
      <c r="D35" t="inlineStr">
        <is>
          <t>risco</t>
        </is>
      </c>
      <c r="E35" t="inlineStr">
        <is>
          <t>Não</t>
        </is>
      </c>
    </row>
    <row r="36">
      <c r="A36" t="inlineStr">
        <is>
          <t>P5.10</t>
        </is>
      </c>
      <c r="B36" t="inlineStr">
        <is>
          <t>5</t>
        </is>
      </c>
      <c r="C36" t="n">
        <v>5</v>
      </c>
      <c r="D36" t="inlineStr">
        <is>
          <t>risco</t>
        </is>
      </c>
      <c r="E36" t="inlineStr">
        <is>
          <t>Sim</t>
        </is>
      </c>
    </row>
    <row r="37">
      <c r="A37" t="inlineStr">
        <is>
          <t>P5.11</t>
        </is>
      </c>
      <c r="B37" t="inlineStr">
        <is>
          <t>5</t>
        </is>
      </c>
      <c r="C37" t="n">
        <v>5</v>
      </c>
      <c r="D37" t="inlineStr">
        <is>
          <t>risco</t>
        </is>
      </c>
      <c r="E37" t="inlineStr">
        <is>
          <t>Sim</t>
        </is>
      </c>
    </row>
    <row r="38">
      <c r="A38" t="inlineStr">
        <is>
          <t>P6.1</t>
        </is>
      </c>
      <c r="B38" t="inlineStr">
        <is>
          <t>6</t>
        </is>
      </c>
      <c r="C38" t="n">
        <v>7</v>
      </c>
      <c r="D38" t="inlineStr">
        <is>
          <t>risco</t>
        </is>
      </c>
      <c r="E38" t="inlineStr">
        <is>
          <t>Sim</t>
        </is>
      </c>
    </row>
    <row r="39">
      <c r="A39" t="inlineStr">
        <is>
          <t>P6.2</t>
        </is>
      </c>
      <c r="B39" t="inlineStr">
        <is>
          <t>6</t>
        </is>
      </c>
      <c r="C39" t="n">
        <v>7</v>
      </c>
      <c r="D39" t="inlineStr">
        <is>
          <t>risco</t>
        </is>
      </c>
      <c r="E39" t="inlineStr">
        <is>
          <t>Sim</t>
        </is>
      </c>
    </row>
    <row r="40">
      <c r="A40" t="inlineStr">
        <is>
          <t>P6.3</t>
        </is>
      </c>
      <c r="B40" t="inlineStr">
        <is>
          <t>6</t>
        </is>
      </c>
      <c r="C40" t="n">
        <v>7</v>
      </c>
      <c r="D40" t="inlineStr">
        <is>
          <t>risco</t>
        </is>
      </c>
      <c r="E40" t="inlineStr">
        <is>
          <t>Sim</t>
        </is>
      </c>
    </row>
    <row r="41">
      <c r="A41" t="inlineStr">
        <is>
          <t>P6.4</t>
        </is>
      </c>
      <c r="B41" t="inlineStr">
        <is>
          <t>6</t>
        </is>
      </c>
      <c r="C41" t="n">
        <v>6</v>
      </c>
      <c r="D41" t="inlineStr">
        <is>
          <t>risco</t>
        </is>
      </c>
      <c r="E41" t="inlineStr">
        <is>
          <t>Não</t>
        </is>
      </c>
    </row>
    <row r="42">
      <c r="A42" t="inlineStr">
        <is>
          <t>P6.5</t>
        </is>
      </c>
      <c r="B42" t="inlineStr">
        <is>
          <t>6</t>
        </is>
      </c>
      <c r="C42" t="n">
        <v>7</v>
      </c>
      <c r="D42" t="inlineStr">
        <is>
          <t>risco</t>
        </is>
      </c>
      <c r="E42" t="inlineStr">
        <is>
          <t>Não</t>
        </is>
      </c>
    </row>
    <row r="43">
      <c r="A43" t="inlineStr">
        <is>
          <t>P6.6</t>
        </is>
      </c>
      <c r="B43" t="inlineStr">
        <is>
          <t>6</t>
        </is>
      </c>
      <c r="C43" t="n">
        <v>5</v>
      </c>
      <c r="D43" t="inlineStr">
        <is>
          <t>risco</t>
        </is>
      </c>
      <c r="E43" t="inlineStr">
        <is>
          <t>Não</t>
        </is>
      </c>
    </row>
    <row r="44">
      <c r="A44" t="inlineStr">
        <is>
          <t>P6.7</t>
        </is>
      </c>
      <c r="B44" t="inlineStr">
        <is>
          <t>6</t>
        </is>
      </c>
      <c r="C44" t="n">
        <v>6</v>
      </c>
      <c r="D44" t="inlineStr">
        <is>
          <t>risco</t>
        </is>
      </c>
      <c r="E44" t="inlineStr">
        <is>
          <t>Não</t>
        </is>
      </c>
    </row>
    <row r="45">
      <c r="A45" t="inlineStr">
        <is>
          <t>P6.8</t>
        </is>
      </c>
      <c r="B45" t="inlineStr">
        <is>
          <t>6</t>
        </is>
      </c>
      <c r="C45" t="n">
        <v>5</v>
      </c>
      <c r="D45" t="inlineStr">
        <is>
          <t>risco</t>
        </is>
      </c>
      <c r="E45" t="inlineStr">
        <is>
          <t>Não</t>
        </is>
      </c>
    </row>
    <row r="46">
      <c r="A46" t="inlineStr">
        <is>
          <t>P6.9</t>
        </is>
      </c>
      <c r="B46" t="inlineStr">
        <is>
          <t>6</t>
        </is>
      </c>
      <c r="C46" t="n">
        <v>5</v>
      </c>
      <c r="D46" t="inlineStr">
        <is>
          <t>risco</t>
        </is>
      </c>
      <c r="E46" t="inlineStr">
        <is>
          <t>Não</t>
        </is>
      </c>
    </row>
    <row r="47">
      <c r="A47" t="inlineStr">
        <is>
          <t>P6.10</t>
        </is>
      </c>
      <c r="B47" t="inlineStr">
        <is>
          <t>6</t>
        </is>
      </c>
      <c r="C47" t="n">
        <v>5</v>
      </c>
      <c r="D47" t="inlineStr">
        <is>
          <t>risco</t>
        </is>
      </c>
      <c r="E47" t="inlineStr">
        <is>
          <t>Não</t>
        </is>
      </c>
    </row>
    <row r="48">
      <c r="A48" t="inlineStr">
        <is>
          <t>P6.11</t>
        </is>
      </c>
      <c r="B48" t="inlineStr">
        <is>
          <t>6</t>
        </is>
      </c>
      <c r="C48" t="n">
        <v>5</v>
      </c>
      <c r="D48" t="inlineStr">
        <is>
          <t>risco</t>
        </is>
      </c>
      <c r="E48" t="inlineStr">
        <is>
          <t>Não</t>
        </is>
      </c>
    </row>
    <row r="49">
      <c r="A49" t="inlineStr">
        <is>
          <t>P6.12</t>
        </is>
      </c>
      <c r="B49" t="inlineStr">
        <is>
          <t>6</t>
        </is>
      </c>
      <c r="C49" t="n">
        <v>5</v>
      </c>
      <c r="D49" t="inlineStr">
        <is>
          <t>risco</t>
        </is>
      </c>
      <c r="E49" t="inlineStr">
        <is>
          <t>Sim</t>
        </is>
      </c>
      <c r="G49" t="inlineStr">
        <is>
          <t>admite N/A</t>
        </is>
      </c>
    </row>
    <row r="50">
      <c r="A50" t="inlineStr">
        <is>
          <t>P6.13</t>
        </is>
      </c>
      <c r="B50" t="inlineStr">
        <is>
          <t>6</t>
        </is>
      </c>
      <c r="C50" t="n">
        <v>7</v>
      </c>
      <c r="D50" t="inlineStr">
        <is>
          <t>risco</t>
        </is>
      </c>
      <c r="E50" t="inlineStr">
        <is>
          <t>Não</t>
        </is>
      </c>
      <c r="G50" t="inlineStr">
        <is>
          <t>admite N/A (só PLN/LLM/sintéticos)</t>
        </is>
      </c>
    </row>
    <row r="51">
      <c r="A51" t="inlineStr">
        <is>
          <t>P6.b.1</t>
        </is>
      </c>
      <c r="B51" t="inlineStr">
        <is>
          <t>6.b</t>
        </is>
      </c>
      <c r="C51" t="n">
        <v>7</v>
      </c>
      <c r="D51" t="inlineStr">
        <is>
          <t>risco</t>
        </is>
      </c>
      <c r="E51" t="inlineStr">
        <is>
          <t>Não</t>
        </is>
      </c>
    </row>
    <row r="52">
      <c r="A52" t="inlineStr">
        <is>
          <t>P6.b.2</t>
        </is>
      </c>
      <c r="B52" t="inlineStr">
        <is>
          <t>6.b</t>
        </is>
      </c>
      <c r="C52" t="n">
        <v>7</v>
      </c>
      <c r="D52" t="inlineStr">
        <is>
          <t>risco</t>
        </is>
      </c>
      <c r="E52" t="inlineStr">
        <is>
          <t>Não</t>
        </is>
      </c>
      <c r="F52" t="inlineStr">
        <is>
          <t>SIM</t>
        </is>
      </c>
      <c r="G52" t="inlineStr">
        <is>
          <t>[ELIMINATÓRIO] Termo de Anuência (banco fora do âmbito)</t>
        </is>
      </c>
    </row>
    <row r="53">
      <c r="A53" t="inlineStr">
        <is>
          <t>P6.b.3</t>
        </is>
      </c>
      <c r="B53" t="inlineStr">
        <is>
          <t>6.b</t>
        </is>
      </c>
      <c r="C53" t="n">
        <v>5</v>
      </c>
      <c r="D53" t="inlineStr">
        <is>
          <t>risco</t>
        </is>
      </c>
      <c r="E53" t="inlineStr">
        <is>
          <t>Não</t>
        </is>
      </c>
    </row>
    <row r="54">
      <c r="A54" t="inlineStr">
        <is>
          <t>P6.b.4</t>
        </is>
      </c>
      <c r="B54" t="inlineStr">
        <is>
          <t>6.b</t>
        </is>
      </c>
      <c r="C54" t="n">
        <v>5</v>
      </c>
      <c r="D54" t="inlineStr">
        <is>
          <t>risco</t>
        </is>
      </c>
      <c r="E54" t="inlineStr">
        <is>
          <t>Não</t>
        </is>
      </c>
    </row>
    <row r="55">
      <c r="A55" t="inlineStr">
        <is>
          <t>P6.b.5</t>
        </is>
      </c>
      <c r="B55" t="inlineStr">
        <is>
          <t>6.b</t>
        </is>
      </c>
      <c r="C55" t="n">
        <v>5</v>
      </c>
      <c r="D55" t="inlineStr">
        <is>
          <t>risco</t>
        </is>
      </c>
      <c r="E55" t="inlineStr">
        <is>
          <t>Não</t>
        </is>
      </c>
    </row>
    <row r="56">
      <c r="A56" t="inlineStr">
        <is>
          <t>P6.b.4.1</t>
        </is>
      </c>
      <c r="B56" t="inlineStr">
        <is>
          <t>6.b</t>
        </is>
      </c>
      <c r="C56" t="n">
        <v>0</v>
      </c>
      <c r="D56" t="inlineStr">
        <is>
          <t>diligencia</t>
        </is>
      </c>
      <c r="G56" t="inlineStr">
        <is>
          <t>diligência — teste de necessidade</t>
        </is>
      </c>
    </row>
    <row r="57">
      <c r="A57" t="inlineStr">
        <is>
          <t>P6.b.6</t>
        </is>
      </c>
      <c r="B57" t="inlineStr">
        <is>
          <t>6.b</t>
        </is>
      </c>
      <c r="C57" t="n">
        <v>0</v>
      </c>
      <c r="D57" t="inlineStr">
        <is>
          <t>diligencia</t>
        </is>
      </c>
      <c r="G57" t="inlineStr">
        <is>
          <t>diligência — checklist 9 critérios</t>
        </is>
      </c>
    </row>
    <row r="58">
      <c r="A58" t="inlineStr">
        <is>
          <t>P6.b.7</t>
        </is>
      </c>
      <c r="B58" t="inlineStr">
        <is>
          <t>6.b</t>
        </is>
      </c>
      <c r="C58" t="n">
        <v>0</v>
      </c>
      <c r="D58" t="inlineStr">
        <is>
          <t>diligencia</t>
        </is>
      </c>
      <c r="G58" t="inlineStr">
        <is>
          <t>diligência — declaração do Controlador</t>
        </is>
      </c>
    </row>
    <row r="59">
      <c r="A59" t="inlineStr">
        <is>
          <t>P7.1</t>
        </is>
      </c>
      <c r="B59" t="inlineStr">
        <is>
          <t>7</t>
        </is>
      </c>
      <c r="C59" t="n">
        <v>5</v>
      </c>
      <c r="D59" t="inlineStr">
        <is>
          <t>risco</t>
        </is>
      </c>
      <c r="E59" t="inlineStr">
        <is>
          <t>Não</t>
        </is>
      </c>
      <c r="G59" t="inlineStr">
        <is>
          <t>subbloco 7A</t>
        </is>
      </c>
    </row>
    <row r="60">
      <c r="A60" t="inlineStr">
        <is>
          <t>P7.2</t>
        </is>
      </c>
      <c r="B60" t="inlineStr">
        <is>
          <t>7</t>
        </is>
      </c>
      <c r="C60" t="n">
        <v>5</v>
      </c>
      <c r="D60" t="inlineStr">
        <is>
          <t>risco</t>
        </is>
      </c>
      <c r="E60" t="inlineStr">
        <is>
          <t>Não</t>
        </is>
      </c>
      <c r="G60" t="inlineStr">
        <is>
          <t>subbloco 7A</t>
        </is>
      </c>
    </row>
    <row r="61">
      <c r="A61" t="inlineStr">
        <is>
          <t>P7.3</t>
        </is>
      </c>
      <c r="B61" t="inlineStr">
        <is>
          <t>7</t>
        </is>
      </c>
      <c r="C61" t="n">
        <v>10</v>
      </c>
      <c r="D61" t="inlineStr">
        <is>
          <t>mitigacao</t>
        </is>
      </c>
    </row>
    <row r="62">
      <c r="A62" t="inlineStr">
        <is>
          <t>P7.4</t>
        </is>
      </c>
      <c r="B62" t="inlineStr">
        <is>
          <t>7</t>
        </is>
      </c>
      <c r="C62" t="n">
        <v>8</v>
      </c>
      <c r="D62" t="inlineStr">
        <is>
          <t>mitigacao</t>
        </is>
      </c>
    </row>
    <row r="63">
      <c r="A63" t="inlineStr">
        <is>
          <t>P7.5</t>
        </is>
      </c>
      <c r="B63" t="inlineStr">
        <is>
          <t>7</t>
        </is>
      </c>
      <c r="C63" t="n">
        <v>10</v>
      </c>
      <c r="D63" t="inlineStr">
        <is>
          <t>mitigacao</t>
        </is>
      </c>
    </row>
    <row r="64">
      <c r="A64" t="inlineStr">
        <is>
          <t>P7.6</t>
        </is>
      </c>
      <c r="B64" t="inlineStr">
        <is>
          <t>7</t>
        </is>
      </c>
      <c r="C64" t="n">
        <v>8</v>
      </c>
      <c r="D64" t="inlineStr">
        <is>
          <t>mitigacao</t>
        </is>
      </c>
    </row>
    <row r="65">
      <c r="A65" t="inlineStr">
        <is>
          <t>P7.7</t>
        </is>
      </c>
      <c r="B65" t="inlineStr">
        <is>
          <t>7</t>
        </is>
      </c>
      <c r="C65" t="n">
        <v>8</v>
      </c>
      <c r="D65" t="inlineStr">
        <is>
          <t>mitigacao</t>
        </is>
      </c>
    </row>
    <row r="66">
      <c r="A66" t="inlineStr">
        <is>
          <t>P7.8</t>
        </is>
      </c>
      <c r="B66" t="inlineStr">
        <is>
          <t>7</t>
        </is>
      </c>
      <c r="C66" t="n">
        <v>7</v>
      </c>
      <c r="D66" t="inlineStr">
        <is>
          <t>mitigacao</t>
        </is>
      </c>
    </row>
    <row r="67">
      <c r="A67" t="inlineStr">
        <is>
          <t>P7.9</t>
        </is>
      </c>
      <c r="B67" t="inlineStr">
        <is>
          <t>7</t>
        </is>
      </c>
      <c r="C67" t="n">
        <v>7</v>
      </c>
      <c r="D67" t="inlineStr">
        <is>
          <t>mitigacao</t>
        </is>
      </c>
    </row>
    <row r="68">
      <c r="A68" t="inlineStr">
        <is>
          <t>P7.10</t>
        </is>
      </c>
      <c r="B68" t="inlineStr">
        <is>
          <t>7</t>
        </is>
      </c>
      <c r="C68" t="n">
        <v>7</v>
      </c>
      <c r="D68" t="inlineStr">
        <is>
          <t>mitigacao</t>
        </is>
      </c>
    </row>
    <row r="69">
      <c r="A69" t="inlineStr">
        <is>
          <t>P7.11</t>
        </is>
      </c>
      <c r="B69" t="inlineStr">
        <is>
          <t>7</t>
        </is>
      </c>
      <c r="C69" t="n">
        <v>5</v>
      </c>
      <c r="D69" t="inlineStr">
        <is>
          <t>evidencia</t>
        </is>
      </c>
      <c r="G69" t="inlineStr">
        <is>
          <t>subbloco 7C (só-abate)</t>
        </is>
      </c>
    </row>
    <row r="70">
      <c r="A70" t="inlineStr">
        <is>
          <t>P7.12</t>
        </is>
      </c>
      <c r="B70" t="inlineStr">
        <is>
          <t>7</t>
        </is>
      </c>
      <c r="C70" t="n">
        <v>5</v>
      </c>
      <c r="D70" t="inlineStr">
        <is>
          <t>evidencia</t>
        </is>
      </c>
      <c r="G70" t="inlineStr">
        <is>
          <t>subbloco 7C (só-abate)</t>
        </is>
      </c>
    </row>
    <row r="71">
      <c r="A71" t="inlineStr">
        <is>
          <t>P7.13</t>
        </is>
      </c>
      <c r="B71" t="inlineStr">
        <is>
          <t>7</t>
        </is>
      </c>
      <c r="C71" t="n">
        <v>8</v>
      </c>
      <c r="D71" t="inlineStr">
        <is>
          <t>evidencia</t>
        </is>
      </c>
      <c r="G71" t="inlineStr">
        <is>
          <t>subbloco 7C (só-abate)</t>
        </is>
      </c>
    </row>
    <row r="72">
      <c r="A72" t="inlineStr">
        <is>
          <t>P7.14</t>
        </is>
      </c>
      <c r="B72" t="inlineStr">
        <is>
          <t>7</t>
        </is>
      </c>
      <c r="C72" t="n">
        <v>5</v>
      </c>
      <c r="D72" t="inlineStr">
        <is>
          <t>evidencia</t>
        </is>
      </c>
      <c r="G72" t="inlineStr">
        <is>
          <t>subbloco 7C (só-abate)</t>
        </is>
      </c>
    </row>
    <row r="73">
      <c r="A73" t="inlineStr">
        <is>
          <t>C.1</t>
        </is>
      </c>
      <c r="B73" t="inlineStr">
        <is>
          <t>—</t>
        </is>
      </c>
      <c r="C73" t="n">
        <v>0</v>
      </c>
      <c r="D73" t="inlineStr">
        <is>
          <t>descritiva</t>
        </is>
      </c>
      <c r="G73" t="inlineStr">
        <is>
          <t>Passo 1 — não pontua</t>
        </is>
      </c>
    </row>
    <row r="74">
      <c r="A74" t="inlineStr">
        <is>
          <t>C.2</t>
        </is>
      </c>
      <c r="B74" t="inlineStr">
        <is>
          <t>—</t>
        </is>
      </c>
      <c r="C74" t="n">
        <v>0</v>
      </c>
      <c r="D74" t="inlineStr">
        <is>
          <t>descritiva</t>
        </is>
      </c>
      <c r="G74" t="inlineStr">
        <is>
          <t>Passo 1 — não pontua</t>
        </is>
      </c>
    </row>
    <row r="75">
      <c r="A75" t="inlineStr">
        <is>
          <t>C.3</t>
        </is>
      </c>
      <c r="B75" t="inlineStr">
        <is>
          <t>—</t>
        </is>
      </c>
      <c r="C75" t="n">
        <v>0</v>
      </c>
      <c r="D75" t="inlineStr">
        <is>
          <t>descritiva</t>
        </is>
      </c>
      <c r="G75" t="inlineStr">
        <is>
          <t>Passo 1 — não pontua</t>
        </is>
      </c>
    </row>
    <row r="76">
      <c r="A76" t="inlineStr">
        <is>
          <t>C.4</t>
        </is>
      </c>
      <c r="B76" t="inlineStr">
        <is>
          <t>—</t>
        </is>
      </c>
      <c r="C76" t="n">
        <v>0</v>
      </c>
      <c r="D76" t="inlineStr">
        <is>
          <t>descritiva</t>
        </is>
      </c>
      <c r="G76" t="inlineStr">
        <is>
          <t>Passo 1 — não pontua</t>
        </is>
      </c>
    </row>
    <row r="77">
      <c r="A77" t="inlineStr">
        <is>
          <t>C.5</t>
        </is>
      </c>
      <c r="B77" t="inlineStr">
        <is>
          <t>—</t>
        </is>
      </c>
      <c r="C77" t="n">
        <v>0</v>
      </c>
      <c r="D77" t="inlineStr">
        <is>
          <t>descritiva</t>
        </is>
      </c>
      <c r="G77" t="inlineStr">
        <is>
          <t>Passo 1 — não pontua</t>
        </is>
      </c>
    </row>
    <row r="78">
      <c r="A78" t="inlineStr">
        <is>
          <t>C.6</t>
        </is>
      </c>
      <c r="B78" t="inlineStr">
        <is>
          <t>—</t>
        </is>
      </c>
      <c r="C78" t="n">
        <v>0</v>
      </c>
      <c r="D78" t="inlineStr">
        <is>
          <t>descritiva</t>
        </is>
      </c>
      <c r="G78" t="inlineStr">
        <is>
          <t>Passo 1 — não pontua</t>
        </is>
      </c>
    </row>
    <row r="79">
      <c r="A79" t="inlineStr">
        <is>
          <t>C.7</t>
        </is>
      </c>
      <c r="B79" t="inlineStr">
        <is>
          <t>—</t>
        </is>
      </c>
      <c r="C79" t="n">
        <v>0</v>
      </c>
      <c r="D79" t="inlineStr">
        <is>
          <t>descritiva</t>
        </is>
      </c>
      <c r="G79" t="inlineStr">
        <is>
          <t>Passo 1 — não pontua</t>
        </is>
      </c>
    </row>
    <row r="80">
      <c r="A80" t="inlineStr">
        <is>
          <t>C.8</t>
        </is>
      </c>
      <c r="B80" t="inlineStr">
        <is>
          <t>—</t>
        </is>
      </c>
      <c r="C80" t="n">
        <v>0</v>
      </c>
      <c r="D80" t="inlineStr">
        <is>
          <t>descritiva</t>
        </is>
      </c>
      <c r="G80" t="inlineStr">
        <is>
          <t>Passo 1 — não pontua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2" t="inlineStr">
        <is>
          <t>id</t>
        </is>
      </c>
      <c r="B1" s="2" t="inlineStr">
        <is>
          <t>bloco</t>
        </is>
      </c>
      <c r="C1" s="2" t="inlineStr">
        <is>
          <t>V1a</t>
        </is>
      </c>
      <c r="D1" s="2" t="inlineStr">
        <is>
          <t>V1b</t>
        </is>
      </c>
      <c r="E1" s="2" t="inlineStr">
        <is>
          <t>V1c</t>
        </is>
      </c>
      <c r="F1" s="2" t="inlineStr">
        <is>
          <t>V2a</t>
        </is>
      </c>
      <c r="G1" s="2" t="inlineStr">
        <is>
          <t>V2b</t>
        </is>
      </c>
      <c r="H1" s="2" t="inlineStr">
        <is>
          <t>V2c</t>
        </is>
      </c>
      <c r="I1" s="2" t="inlineStr">
        <is>
          <t>V3a</t>
        </is>
      </c>
      <c r="J1" s="2" t="inlineStr">
        <is>
          <t>V3b</t>
        </is>
      </c>
      <c r="K1" s="2" t="inlineStr">
        <is>
          <t>V3c</t>
        </is>
      </c>
      <c r="L1" s="2" t="inlineStr">
        <is>
          <t>V4</t>
        </is>
      </c>
      <c r="M1" s="2" t="inlineStr">
        <is>
          <t>V5</t>
        </is>
      </c>
      <c r="N1" s="2" t="inlineStr">
        <is>
          <t>V6a</t>
        </is>
      </c>
      <c r="O1" s="2" t="inlineStr">
        <is>
          <t>V6b</t>
        </is>
      </c>
      <c r="P1" s="2" t="inlineStr">
        <is>
          <t>V6c</t>
        </is>
      </c>
      <c r="Q1" s="2" t="inlineStr">
        <is>
          <t>V6d</t>
        </is>
      </c>
      <c r="R1" s="2" t="inlineStr">
        <is>
          <t>V6e</t>
        </is>
      </c>
      <c r="S1" s="2" t="inlineStr">
        <is>
          <t>V6f</t>
        </is>
      </c>
      <c r="T1" s="2" t="inlineStr">
        <is>
          <t>V6g</t>
        </is>
      </c>
      <c r="U1" s="2" t="inlineStr">
        <is>
          <t>V7</t>
        </is>
      </c>
      <c r="V1" s="2" t="inlineStr">
        <is>
          <t>V8</t>
        </is>
      </c>
      <c r="W1" s="2" t="inlineStr">
        <is>
          <t>V9</t>
        </is>
      </c>
      <c r="X1" s="2" t="inlineStr">
        <is>
          <t>V10</t>
        </is>
      </c>
      <c r="Y1" s="2" t="inlineStr">
        <is>
          <t>V11</t>
        </is>
      </c>
      <c r="Z1" s="2" t="inlineStr">
        <is>
          <t>V12</t>
        </is>
      </c>
      <c r="AA1" s="2" t="inlineStr">
        <is>
          <t>V13</t>
        </is>
      </c>
      <c r="AB1" s="2" t="inlineStr">
        <is>
          <t>V14</t>
        </is>
      </c>
      <c r="AC1" s="2" t="inlineStr">
        <is>
          <t>V15</t>
        </is>
      </c>
      <c r="AD1" s="2" t="inlineStr">
        <is>
          <t>V20</t>
        </is>
      </c>
      <c r="AE1" s="2" t="inlineStr">
        <is>
          <t>V21</t>
        </is>
      </c>
      <c r="AF1" s="2" t="inlineStr">
        <is>
          <t>V22</t>
        </is>
      </c>
      <c r="AG1" s="2" t="inlineStr">
        <is>
          <t>V23</t>
        </is>
      </c>
    </row>
    <row r="2">
      <c r="A2" t="inlineStr">
        <is>
          <t>P1.1</t>
        </is>
      </c>
      <c r="B2" t="inlineStr">
        <is>
          <t>1</t>
        </is>
      </c>
      <c r="C2" t="inlineStr">
        <is>
          <t>Não</t>
        </is>
      </c>
      <c r="D2" t="inlineStr">
        <is>
          <t>Não</t>
        </is>
      </c>
      <c r="E2" t="inlineStr">
        <is>
          <t>Não</t>
        </is>
      </c>
      <c r="F2" t="inlineStr">
        <is>
          <t>Não</t>
        </is>
      </c>
      <c r="G2" t="inlineStr">
        <is>
          <t>Não</t>
        </is>
      </c>
      <c r="H2" t="inlineStr">
        <is>
          <t>Não</t>
        </is>
      </c>
      <c r="I2" t="inlineStr">
        <is>
          <t>Não</t>
        </is>
      </c>
      <c r="J2" t="inlineStr">
        <is>
          <t>Não</t>
        </is>
      </c>
      <c r="K2" t="inlineStr">
        <is>
          <t>Não</t>
        </is>
      </c>
      <c r="L2" t="inlineStr">
        <is>
          <t>Não</t>
        </is>
      </c>
      <c r="M2" t="inlineStr">
        <is>
          <t>Sim</t>
        </is>
      </c>
      <c r="N2" t="inlineStr">
        <is>
          <t>Não</t>
        </is>
      </c>
      <c r="O2" t="inlineStr">
        <is>
          <t>Não</t>
        </is>
      </c>
      <c r="P2" t="inlineStr">
        <is>
          <t>Não</t>
        </is>
      </c>
      <c r="Q2" t="inlineStr">
        <is>
          <t>Não</t>
        </is>
      </c>
      <c r="R2" t="inlineStr">
        <is>
          <t>Não</t>
        </is>
      </c>
      <c r="S2" t="inlineStr">
        <is>
          <t>Não</t>
        </is>
      </c>
      <c r="T2" t="inlineStr">
        <is>
          <t>Não</t>
        </is>
      </c>
      <c r="U2" t="inlineStr">
        <is>
          <t>Sim</t>
        </is>
      </c>
      <c r="V2" t="inlineStr">
        <is>
          <t>Sim</t>
        </is>
      </c>
      <c r="W2" t="inlineStr">
        <is>
          <t>Não</t>
        </is>
      </c>
      <c r="X2" t="inlineStr">
        <is>
          <t>Sim</t>
        </is>
      </c>
      <c r="Y2" t="inlineStr">
        <is>
          <t>Sim</t>
        </is>
      </c>
      <c r="Z2" t="inlineStr">
        <is>
          <t>Não</t>
        </is>
      </c>
      <c r="AA2" t="inlineStr">
        <is>
          <t>Sim</t>
        </is>
      </c>
      <c r="AB2" t="inlineStr">
        <is>
          <t>Não</t>
        </is>
      </c>
      <c r="AC2" t="inlineStr">
        <is>
          <t>Sim</t>
        </is>
      </c>
      <c r="AD2" t="inlineStr">
        <is>
          <t>Sim</t>
        </is>
      </c>
      <c r="AE2" t="inlineStr">
        <is>
          <t>Sim</t>
        </is>
      </c>
      <c r="AF2" t="inlineStr">
        <is>
          <t>Não</t>
        </is>
      </c>
      <c r="AG2" t="inlineStr">
        <is>
          <t>Não</t>
        </is>
      </c>
    </row>
    <row r="3">
      <c r="A3" t="inlineStr">
        <is>
          <t>P1.2</t>
        </is>
      </c>
      <c r="B3" t="inlineStr">
        <is>
          <t>1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  <c r="L3" t="inlineStr">
        <is>
          <t>Não</t>
        </is>
      </c>
      <c r="M3" t="inlineStr">
        <is>
          <t>Sim</t>
        </is>
      </c>
      <c r="N3" t="inlineStr">
        <is>
          <t>Não</t>
        </is>
      </c>
      <c r="O3" t="inlineStr">
        <is>
          <t>Não</t>
        </is>
      </c>
      <c r="P3" t="inlineStr">
        <is>
          <t>Não</t>
        </is>
      </c>
      <c r="Q3" t="inlineStr">
        <is>
          <t>Não</t>
        </is>
      </c>
      <c r="R3" t="inlineStr">
        <is>
          <t>Não</t>
        </is>
      </c>
      <c r="S3" t="inlineStr">
        <is>
          <t>Não</t>
        </is>
      </c>
      <c r="T3" t="inlineStr">
        <is>
          <t>Não</t>
        </is>
      </c>
      <c r="U3" t="inlineStr">
        <is>
          <t>Sim</t>
        </is>
      </c>
      <c r="V3" t="inlineStr">
        <is>
          <t>Sim</t>
        </is>
      </c>
      <c r="W3" t="inlineStr">
        <is>
          <t>Não</t>
        </is>
      </c>
      <c r="X3" t="inlineStr">
        <is>
          <t>Sim</t>
        </is>
      </c>
      <c r="Y3" t="inlineStr">
        <is>
          <t>Sim</t>
        </is>
      </c>
      <c r="Z3" t="inlineStr">
        <is>
          <t>Não</t>
        </is>
      </c>
      <c r="AA3" t="inlineStr">
        <is>
          <t>Sim</t>
        </is>
      </c>
      <c r="AB3" t="inlineStr">
        <is>
          <t>Não</t>
        </is>
      </c>
      <c r="AC3" t="inlineStr">
        <is>
          <t>Sim</t>
        </is>
      </c>
      <c r="AD3" t="inlineStr">
        <is>
          <t>Sim</t>
        </is>
      </c>
      <c r="AE3" t="inlineStr">
        <is>
          <t>Sim</t>
        </is>
      </c>
      <c r="AF3" t="inlineStr">
        <is>
          <t>Não</t>
        </is>
      </c>
      <c r="AG3" t="inlineStr">
        <is>
          <t>Não</t>
        </is>
      </c>
    </row>
    <row r="4">
      <c r="A4" t="inlineStr">
        <is>
          <t>P1.3</t>
        </is>
      </c>
      <c r="B4" t="inlineStr">
        <is>
          <t>1</t>
        </is>
      </c>
      <c r="C4" t="inlineStr">
        <is>
          <t>Não</t>
        </is>
      </c>
      <c r="D4" t="inlineStr">
        <is>
          <t>Não</t>
        </is>
      </c>
      <c r="E4" t="inlineStr">
        <is>
          <t>Não</t>
        </is>
      </c>
      <c r="F4" t="inlineStr">
        <is>
          <t>Não</t>
        </is>
      </c>
      <c r="G4" t="inlineStr">
        <is>
          <t>Não</t>
        </is>
      </c>
      <c r="H4" t="inlineStr">
        <is>
          <t>Não</t>
        </is>
      </c>
      <c r="I4" t="inlineStr">
        <is>
          <t>Não</t>
        </is>
      </c>
      <c r="J4" t="inlineStr">
        <is>
          <t>Não</t>
        </is>
      </c>
      <c r="K4" t="inlineStr">
        <is>
          <t>Não</t>
        </is>
      </c>
      <c r="L4" t="inlineStr">
        <is>
          <t>Não</t>
        </is>
      </c>
      <c r="M4" t="inlineStr">
        <is>
          <t>Sim</t>
        </is>
      </c>
      <c r="N4" t="inlineStr">
        <is>
          <t>Não</t>
        </is>
      </c>
      <c r="O4" t="inlineStr">
        <is>
          <t>Não</t>
        </is>
      </c>
      <c r="P4" t="inlineStr">
        <is>
          <t>Não</t>
        </is>
      </c>
      <c r="Q4" t="inlineStr">
        <is>
          <t>Não</t>
        </is>
      </c>
      <c r="R4" t="inlineStr">
        <is>
          <t>Não</t>
        </is>
      </c>
      <c r="S4" t="inlineStr">
        <is>
          <t>Não</t>
        </is>
      </c>
      <c r="T4" t="inlineStr">
        <is>
          <t>Não</t>
        </is>
      </c>
      <c r="U4" t="inlineStr">
        <is>
          <t>Sim</t>
        </is>
      </c>
      <c r="V4" t="inlineStr">
        <is>
          <t>Sim</t>
        </is>
      </c>
      <c r="W4" t="inlineStr">
        <is>
          <t>Não</t>
        </is>
      </c>
      <c r="X4" t="inlineStr">
        <is>
          <t>Sim</t>
        </is>
      </c>
      <c r="Y4" t="inlineStr">
        <is>
          <t>Sim</t>
        </is>
      </c>
      <c r="Z4" t="inlineStr">
        <is>
          <t>Não</t>
        </is>
      </c>
      <c r="AA4" t="inlineStr">
        <is>
          <t>Sim</t>
        </is>
      </c>
      <c r="AB4" t="inlineStr">
        <is>
          <t>Não</t>
        </is>
      </c>
      <c r="AC4" t="inlineStr">
        <is>
          <t>Sim</t>
        </is>
      </c>
      <c r="AD4" t="inlineStr">
        <is>
          <t>Sim</t>
        </is>
      </c>
      <c r="AE4" t="inlineStr">
        <is>
          <t>Sim</t>
        </is>
      </c>
      <c r="AF4" t="inlineStr">
        <is>
          <t>Não</t>
        </is>
      </c>
      <c r="AG4" t="inlineStr">
        <is>
          <t>Não</t>
        </is>
      </c>
    </row>
    <row r="5">
      <c r="A5" t="inlineStr">
        <is>
          <t>P1.4</t>
        </is>
      </c>
      <c r="B5" t="inlineStr">
        <is>
          <t>1</t>
        </is>
      </c>
      <c r="C5" t="inlineStr">
        <is>
          <t>Não</t>
        </is>
      </c>
      <c r="D5" t="inlineStr">
        <is>
          <t>Não</t>
        </is>
      </c>
      <c r="E5" t="inlineStr">
        <is>
          <t>Não</t>
        </is>
      </c>
      <c r="F5" t="inlineStr">
        <is>
          <t>Não</t>
        </is>
      </c>
      <c r="G5" t="inlineStr">
        <is>
          <t>Não</t>
        </is>
      </c>
      <c r="H5" t="inlineStr">
        <is>
          <t>Não</t>
        </is>
      </c>
      <c r="I5" t="inlineStr">
        <is>
          <t>Não</t>
        </is>
      </c>
      <c r="J5" t="inlineStr">
        <is>
          <t>Não</t>
        </is>
      </c>
      <c r="K5" t="inlineStr">
        <is>
          <t>Não</t>
        </is>
      </c>
      <c r="L5" t="inlineStr">
        <is>
          <t>Não</t>
        </is>
      </c>
      <c r="M5" t="inlineStr">
        <is>
          <t>Sim</t>
        </is>
      </c>
      <c r="N5" t="inlineStr">
        <is>
          <t>Não</t>
        </is>
      </c>
      <c r="O5" t="inlineStr">
        <is>
          <t>Não</t>
        </is>
      </c>
      <c r="P5" t="inlineStr">
        <is>
          <t>Não</t>
        </is>
      </c>
      <c r="Q5" t="inlineStr">
        <is>
          <t>Não</t>
        </is>
      </c>
      <c r="R5" t="inlineStr">
        <is>
          <t>Não</t>
        </is>
      </c>
      <c r="S5" t="inlineStr">
        <is>
          <t>Não</t>
        </is>
      </c>
      <c r="T5" t="inlineStr">
        <is>
          <t>Não</t>
        </is>
      </c>
      <c r="U5" t="inlineStr">
        <is>
          <t>Sim</t>
        </is>
      </c>
      <c r="V5" t="inlineStr">
        <is>
          <t>Sim</t>
        </is>
      </c>
      <c r="W5" t="inlineStr">
        <is>
          <t>Não</t>
        </is>
      </c>
      <c r="X5" t="inlineStr">
        <is>
          <t>Sim</t>
        </is>
      </c>
      <c r="Y5" t="inlineStr">
        <is>
          <t>Sim</t>
        </is>
      </c>
      <c r="Z5" t="inlineStr">
        <is>
          <t>Não</t>
        </is>
      </c>
      <c r="AA5" t="inlineStr">
        <is>
          <t>Sim</t>
        </is>
      </c>
      <c r="AB5" t="inlineStr">
        <is>
          <t>Não</t>
        </is>
      </c>
      <c r="AC5" t="inlineStr">
        <is>
          <t>Sim</t>
        </is>
      </c>
      <c r="AD5" t="inlineStr">
        <is>
          <t>Sim</t>
        </is>
      </c>
      <c r="AE5" t="inlineStr">
        <is>
          <t>Sim</t>
        </is>
      </c>
      <c r="AF5" t="inlineStr">
        <is>
          <t>Não</t>
        </is>
      </c>
      <c r="AG5" t="inlineStr">
        <is>
          <t>Não</t>
        </is>
      </c>
    </row>
    <row r="6">
      <c r="A6" t="inlineStr">
        <is>
          <t>P1.5</t>
        </is>
      </c>
      <c r="B6" t="inlineStr">
        <is>
          <t>1</t>
        </is>
      </c>
      <c r="C6" t="inlineStr">
        <is>
          <t>Não</t>
        </is>
      </c>
      <c r="D6" t="inlineStr">
        <is>
          <t>Não</t>
        </is>
      </c>
      <c r="E6" t="inlineStr">
        <is>
          <t>Não</t>
        </is>
      </c>
      <c r="F6" t="inlineStr">
        <is>
          <t>Não</t>
        </is>
      </c>
      <c r="G6" t="inlineStr">
        <is>
          <t>Não</t>
        </is>
      </c>
      <c r="H6" t="inlineStr">
        <is>
          <t>Não</t>
        </is>
      </c>
      <c r="I6" t="inlineStr">
        <is>
          <t>Não</t>
        </is>
      </c>
      <c r="J6" t="inlineStr">
        <is>
          <t>Não</t>
        </is>
      </c>
      <c r="K6" t="inlineStr">
        <is>
          <t>Não</t>
        </is>
      </c>
      <c r="L6" t="inlineStr">
        <is>
          <t>Não</t>
        </is>
      </c>
      <c r="M6" t="inlineStr">
        <is>
          <t>Sim</t>
        </is>
      </c>
      <c r="N6" t="inlineStr">
        <is>
          <t>Não</t>
        </is>
      </c>
      <c r="O6" t="inlineStr">
        <is>
          <t>Não</t>
        </is>
      </c>
      <c r="P6" t="inlineStr">
        <is>
          <t>Não</t>
        </is>
      </c>
      <c r="Q6" t="inlineStr">
        <is>
          <t>Não</t>
        </is>
      </c>
      <c r="R6" t="inlineStr">
        <is>
          <t>Não</t>
        </is>
      </c>
      <c r="S6" t="inlineStr">
        <is>
          <t>Não</t>
        </is>
      </c>
      <c r="T6" t="inlineStr">
        <is>
          <t>Não</t>
        </is>
      </c>
      <c r="U6" t="inlineStr">
        <is>
          <t>Sim</t>
        </is>
      </c>
      <c r="V6" t="inlineStr">
        <is>
          <t>Sim</t>
        </is>
      </c>
      <c r="W6" t="inlineStr">
        <is>
          <t>Não</t>
        </is>
      </c>
      <c r="X6" t="inlineStr">
        <is>
          <t>Sim</t>
        </is>
      </c>
      <c r="Y6" t="inlineStr">
        <is>
          <t>Sim</t>
        </is>
      </c>
      <c r="Z6" t="inlineStr">
        <is>
          <t>Não</t>
        </is>
      </c>
      <c r="AA6" t="inlineStr">
        <is>
          <t>Sim</t>
        </is>
      </c>
      <c r="AB6" t="inlineStr">
        <is>
          <t>Não</t>
        </is>
      </c>
      <c r="AC6" t="inlineStr">
        <is>
          <t>Sim</t>
        </is>
      </c>
      <c r="AD6" t="inlineStr">
        <is>
          <t>Sim</t>
        </is>
      </c>
      <c r="AE6" t="inlineStr">
        <is>
          <t>Sim</t>
        </is>
      </c>
      <c r="AF6" t="inlineStr">
        <is>
          <t>Não</t>
        </is>
      </c>
      <c r="AG6" t="inlineStr">
        <is>
          <t>Não</t>
        </is>
      </c>
    </row>
    <row r="7">
      <c r="A7" t="inlineStr">
        <is>
          <t>P1.6</t>
        </is>
      </c>
      <c r="B7" t="inlineStr">
        <is>
          <t>1</t>
        </is>
      </c>
      <c r="C7" t="inlineStr">
        <is>
          <t>Não</t>
        </is>
      </c>
      <c r="D7" t="inlineStr">
        <is>
          <t>Não</t>
        </is>
      </c>
      <c r="E7" t="inlineStr">
        <is>
          <t>Não</t>
        </is>
      </c>
      <c r="F7" t="inlineStr">
        <is>
          <t>Não</t>
        </is>
      </c>
      <c r="G7" t="inlineStr">
        <is>
          <t>Não</t>
        </is>
      </c>
      <c r="H7" t="inlineStr">
        <is>
          <t>Não</t>
        </is>
      </c>
      <c r="I7" t="inlineStr">
        <is>
          <t>Não</t>
        </is>
      </c>
      <c r="J7" t="inlineStr">
        <is>
          <t>Não</t>
        </is>
      </c>
      <c r="K7" t="inlineStr">
        <is>
          <t>Não</t>
        </is>
      </c>
      <c r="L7" t="inlineStr">
        <is>
          <t>Não</t>
        </is>
      </c>
      <c r="M7" t="inlineStr">
        <is>
          <t>Sim</t>
        </is>
      </c>
      <c r="N7" t="inlineStr">
        <is>
          <t>Não</t>
        </is>
      </c>
      <c r="O7" t="inlineStr">
        <is>
          <t>Não</t>
        </is>
      </c>
      <c r="P7" t="inlineStr">
        <is>
          <t>Não</t>
        </is>
      </c>
      <c r="Q7" t="inlineStr">
        <is>
          <t>Não</t>
        </is>
      </c>
      <c r="R7" t="inlineStr">
        <is>
          <t>Não</t>
        </is>
      </c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Sim</t>
        </is>
      </c>
      <c r="W7" t="inlineStr">
        <is>
          <t>Não</t>
        </is>
      </c>
      <c r="X7" t="inlineStr">
        <is>
          <t>Sim</t>
        </is>
      </c>
      <c r="Y7" t="inlineStr">
        <is>
          <t>Sim</t>
        </is>
      </c>
      <c r="Z7" t="inlineStr">
        <is>
          <t>Não</t>
        </is>
      </c>
      <c r="AA7" t="inlineStr">
        <is>
          <t>Sim</t>
        </is>
      </c>
      <c r="AB7" t="inlineStr">
        <is>
          <t>Não</t>
        </is>
      </c>
      <c r="AC7" t="inlineStr">
        <is>
          <t>Sim</t>
        </is>
      </c>
      <c r="AD7" t="inlineStr">
        <is>
          <t>Sim</t>
        </is>
      </c>
      <c r="AE7" t="inlineStr">
        <is>
          <t>Sim</t>
        </is>
      </c>
      <c r="AF7" t="inlineStr">
        <is>
          <t>Não</t>
        </is>
      </c>
      <c r="AG7" t="inlineStr">
        <is>
          <t>Não</t>
        </is>
      </c>
    </row>
    <row r="8">
      <c r="A8" t="inlineStr">
        <is>
          <t>P1.7</t>
        </is>
      </c>
      <c r="B8" t="inlineStr">
        <is>
          <t>1</t>
        </is>
      </c>
      <c r="C8" t="inlineStr">
        <is>
          <t>Não</t>
        </is>
      </c>
      <c r="D8" t="inlineStr">
        <is>
          <t>Não</t>
        </is>
      </c>
      <c r="E8" t="inlineStr">
        <is>
          <t>Não</t>
        </is>
      </c>
      <c r="F8" t="inlineStr">
        <is>
          <t>Não</t>
        </is>
      </c>
      <c r="G8" t="inlineStr">
        <is>
          <t>Não</t>
        </is>
      </c>
      <c r="H8" t="inlineStr">
        <is>
          <t>Não</t>
        </is>
      </c>
      <c r="I8" t="inlineStr">
        <is>
          <t>Não</t>
        </is>
      </c>
      <c r="J8" t="inlineStr">
        <is>
          <t>Não</t>
        </is>
      </c>
      <c r="K8" t="inlineStr">
        <is>
          <t>Não</t>
        </is>
      </c>
      <c r="L8" t="inlineStr">
        <is>
          <t>Não</t>
        </is>
      </c>
      <c r="M8" t="inlineStr">
        <is>
          <t>Sim</t>
        </is>
      </c>
      <c r="N8" t="inlineStr">
        <is>
          <t>Não</t>
        </is>
      </c>
      <c r="O8" t="inlineStr">
        <is>
          <t>Não</t>
        </is>
      </c>
      <c r="P8" t="inlineStr">
        <is>
          <t>Não</t>
        </is>
      </c>
      <c r="Q8" t="inlineStr">
        <is>
          <t>Não</t>
        </is>
      </c>
      <c r="R8" t="inlineStr">
        <is>
          <t>Não</t>
        </is>
      </c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Sim</t>
        </is>
      </c>
      <c r="W8" t="inlineStr">
        <is>
          <t>Não</t>
        </is>
      </c>
      <c r="X8" t="inlineStr">
        <is>
          <t>Sim</t>
        </is>
      </c>
      <c r="Y8" t="inlineStr">
        <is>
          <t>Sim</t>
        </is>
      </c>
      <c r="Z8" t="inlineStr">
        <is>
          <t>Não</t>
        </is>
      </c>
      <c r="AA8" t="inlineStr">
        <is>
          <t>Sim</t>
        </is>
      </c>
      <c r="AB8" t="inlineStr">
        <is>
          <t>Não</t>
        </is>
      </c>
      <c r="AC8" t="inlineStr">
        <is>
          <t>Sim</t>
        </is>
      </c>
      <c r="AD8" t="inlineStr">
        <is>
          <t>Sim</t>
        </is>
      </c>
      <c r="AE8" t="inlineStr">
        <is>
          <t>Sim</t>
        </is>
      </c>
      <c r="AF8" t="inlineStr">
        <is>
          <t>Não</t>
        </is>
      </c>
      <c r="AG8" t="inlineStr">
        <is>
          <t>Não</t>
        </is>
      </c>
    </row>
    <row r="9">
      <c r="A9" t="inlineStr">
        <is>
          <t>P2.1</t>
        </is>
      </c>
      <c r="B9" t="inlineStr">
        <is>
          <t>2</t>
        </is>
      </c>
      <c r="C9" t="inlineStr">
        <is>
          <t>Sim</t>
        </is>
      </c>
      <c r="D9" t="inlineStr">
        <is>
          <t>Sim</t>
        </is>
      </c>
      <c r="E9" t="inlineStr">
        <is>
          <t>Sim</t>
        </is>
      </c>
      <c r="F9" t="inlineStr">
        <is>
          <t>Sim</t>
        </is>
      </c>
      <c r="G9" t="inlineStr">
        <is>
          <t>Sim</t>
        </is>
      </c>
      <c r="H9" t="inlineStr">
        <is>
          <t>Sim</t>
        </is>
      </c>
      <c r="I9" t="inlineStr">
        <is>
          <t>Sim</t>
        </is>
      </c>
      <c r="J9" t="inlineStr">
        <is>
          <t>Sim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inlineStr">
        <is>
          <t>Sim</t>
        </is>
      </c>
      <c r="P9" t="inlineStr">
        <is>
          <t>Sim</t>
        </is>
      </c>
      <c r="Q9" t="inlineStr">
        <is>
          <t>Sim</t>
        </is>
      </c>
      <c r="R9" t="inlineStr">
        <is>
          <t>Sim</t>
        </is>
      </c>
      <c r="S9" t="inlineStr">
        <is>
          <t>Sim</t>
        </is>
      </c>
      <c r="T9" t="inlineStr">
        <is>
          <t>Sim</t>
        </is>
      </c>
      <c r="U9" t="inlineStr">
        <is>
          <t>Não</t>
        </is>
      </c>
      <c r="V9" t="inlineStr">
        <is>
          <t>Não</t>
        </is>
      </c>
      <c r="W9" t="inlineStr">
        <is>
          <t>Sim</t>
        </is>
      </c>
      <c r="X9" t="inlineStr">
        <is>
          <t>Não</t>
        </is>
      </c>
      <c r="Y9" t="inlineStr">
        <is>
          <t>Não</t>
        </is>
      </c>
      <c r="Z9" t="inlineStr">
        <is>
          <t>Sim</t>
        </is>
      </c>
      <c r="AA9" t="inlineStr">
        <is>
          <t>Não</t>
        </is>
      </c>
      <c r="AB9" t="inlineStr">
        <is>
          <t>Sim</t>
        </is>
      </c>
      <c r="AC9" t="inlineStr">
        <is>
          <t>Não</t>
        </is>
      </c>
      <c r="AD9" t="inlineStr">
        <is>
          <t>Não</t>
        </is>
      </c>
      <c r="AE9" t="inlineStr">
        <is>
          <t>Não</t>
        </is>
      </c>
      <c r="AF9" t="inlineStr">
        <is>
          <t>Sim</t>
        </is>
      </c>
      <c r="AG9" t="inlineStr">
        <is>
          <t>Sim</t>
        </is>
      </c>
    </row>
    <row r="10">
      <c r="A10" t="inlineStr">
        <is>
          <t>P2.2</t>
        </is>
      </c>
      <c r="B10" t="inlineStr">
        <is>
          <t>2</t>
        </is>
      </c>
      <c r="C10" t="inlineStr">
        <is>
          <t>Sim</t>
        </is>
      </c>
      <c r="D10" t="inlineStr">
        <is>
          <t>Sim</t>
        </is>
      </c>
      <c r="E10" t="inlineStr">
        <is>
          <t>Sim</t>
        </is>
      </c>
      <c r="F10" t="inlineStr">
        <is>
          <t>Sim</t>
        </is>
      </c>
      <c r="G10" t="inlineStr">
        <is>
          <t>Sim</t>
        </is>
      </c>
      <c r="H10" t="inlineStr">
        <is>
          <t>Sim</t>
        </is>
      </c>
      <c r="I10" t="inlineStr">
        <is>
          <t>Sim</t>
        </is>
      </c>
      <c r="J10" t="inlineStr">
        <is>
          <t>Sim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Sim</t>
        </is>
      </c>
      <c r="O10" t="inlineStr">
        <is>
          <t>Sim</t>
        </is>
      </c>
      <c r="P10" t="inlineStr">
        <is>
          <t>Sim</t>
        </is>
      </c>
      <c r="Q10" t="inlineStr">
        <is>
          <t>Sim</t>
        </is>
      </c>
      <c r="R10" t="inlineStr">
        <is>
          <t>Sim</t>
        </is>
      </c>
      <c r="S10" t="inlineStr">
        <is>
          <t>Sim</t>
        </is>
      </c>
      <c r="T10" t="inlineStr">
        <is>
          <t>Sim</t>
        </is>
      </c>
      <c r="U10" t="inlineStr">
        <is>
          <t>Não</t>
        </is>
      </c>
      <c r="V10" t="inlineStr">
        <is>
          <t>Sim</t>
        </is>
      </c>
      <c r="W10" t="inlineStr">
        <is>
          <t>Sim</t>
        </is>
      </c>
      <c r="X10" t="inlineStr">
        <is>
          <t>Não</t>
        </is>
      </c>
      <c r="Y10" t="inlineStr">
        <is>
          <t>Não</t>
        </is>
      </c>
      <c r="Z10" t="inlineStr">
        <is>
          <t>Sim</t>
        </is>
      </c>
      <c r="AA10" t="inlineStr">
        <is>
          <t>Não</t>
        </is>
      </c>
      <c r="AB10" t="inlineStr">
        <is>
          <t>Sim</t>
        </is>
      </c>
      <c r="AC10" t="inlineStr">
        <is>
          <t>Não</t>
        </is>
      </c>
      <c r="AD10" t="inlineStr">
        <is>
          <t>Não</t>
        </is>
      </c>
      <c r="AE10" t="inlineStr">
        <is>
          <t>Não</t>
        </is>
      </c>
      <c r="AF10" t="inlineStr">
        <is>
          <t>Sim</t>
        </is>
      </c>
      <c r="AG10" t="inlineStr">
        <is>
          <t>Sim</t>
        </is>
      </c>
    </row>
    <row r="11">
      <c r="A11" t="inlineStr">
        <is>
          <t>P2.3</t>
        </is>
      </c>
      <c r="B11" t="inlineStr">
        <is>
          <t>2</t>
        </is>
      </c>
      <c r="C11" t="inlineStr">
        <is>
          <t>Sim</t>
        </is>
      </c>
      <c r="D11" t="inlineStr">
        <is>
          <t>Não</t>
        </is>
      </c>
      <c r="E11" t="inlineStr">
        <is>
          <t>Sim</t>
        </is>
      </c>
      <c r="F11" t="inlineStr">
        <is>
          <t>Sim</t>
        </is>
      </c>
      <c r="G11" t="inlineStr">
        <is>
          <t>Sim</t>
        </is>
      </c>
      <c r="H11" t="inlineStr">
        <is>
          <t>Não</t>
        </is>
      </c>
      <c r="I11" t="inlineStr">
        <is>
          <t>Sim</t>
        </is>
      </c>
      <c r="J11" t="inlineStr">
        <is>
          <t>Sim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inlineStr">
        <is>
          <t>Sim</t>
        </is>
      </c>
      <c r="P11" t="inlineStr">
        <is>
          <t>Sim</t>
        </is>
      </c>
      <c r="Q11" t="inlineStr">
        <is>
          <t>Sim</t>
        </is>
      </c>
      <c r="R11" t="inlineStr">
        <is>
          <t>Sim</t>
        </is>
      </c>
      <c r="S11" t="inlineStr">
        <is>
          <t>Sim</t>
        </is>
      </c>
      <c r="T11" t="inlineStr">
        <is>
          <t>Sim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Sim</t>
        </is>
      </c>
      <c r="AA11" t="inlineStr">
        <is>
          <t>Não</t>
        </is>
      </c>
      <c r="AB11" t="inlineStr">
        <is>
          <t>Sim</t>
        </is>
      </c>
      <c r="AC11" t="inlineStr">
        <is>
          <t>Não</t>
        </is>
      </c>
      <c r="AD11" t="inlineStr">
        <is>
          <t>Não</t>
        </is>
      </c>
      <c r="AE11" t="inlineStr">
        <is>
          <t>Não</t>
        </is>
      </c>
      <c r="AF11" t="inlineStr">
        <is>
          <t>Sim</t>
        </is>
      </c>
      <c r="AG11" t="inlineStr">
        <is>
          <t>Não</t>
        </is>
      </c>
    </row>
    <row r="12">
      <c r="A12" t="inlineStr">
        <is>
          <t>P2.4</t>
        </is>
      </c>
      <c r="B12" t="inlineStr">
        <is>
          <t>2</t>
        </is>
      </c>
      <c r="C12" t="inlineStr">
        <is>
          <t>Não</t>
        </is>
      </c>
      <c r="D12" t="inlineStr">
        <is>
          <t>Não</t>
        </is>
      </c>
      <c r="E12" t="inlineStr">
        <is>
          <t>Não</t>
        </is>
      </c>
      <c r="F12" t="inlineStr">
        <is>
          <t>Não</t>
        </is>
      </c>
      <c r="G12" t="inlineStr">
        <is>
          <t>Não</t>
        </is>
      </c>
      <c r="H12" t="inlineStr">
        <is>
          <t>Não</t>
        </is>
      </c>
      <c r="I12" t="inlineStr">
        <is>
          <t>Não</t>
        </is>
      </c>
      <c r="J12" t="inlineStr">
        <is>
          <t>Não</t>
        </is>
      </c>
      <c r="K12" t="inlineStr">
        <is>
          <t>Não</t>
        </is>
      </c>
      <c r="L12" t="inlineStr">
        <is>
          <t>Não</t>
        </is>
      </c>
      <c r="M12" t="inlineStr">
        <is>
          <t>Sim</t>
        </is>
      </c>
      <c r="N12" t="inlineStr">
        <is>
          <t>Não</t>
        </is>
      </c>
      <c r="O12" t="inlineStr">
        <is>
          <t>Não</t>
        </is>
      </c>
      <c r="P12" t="inlineStr">
        <is>
          <t>Não</t>
        </is>
      </c>
      <c r="Q12" t="inlineStr">
        <is>
          <t>Não</t>
        </is>
      </c>
      <c r="R12" t="inlineStr">
        <is>
          <t>Não</t>
        </is>
      </c>
      <c r="S12" t="inlineStr">
        <is>
          <t>Não</t>
        </is>
      </c>
      <c r="T12" t="inlineStr">
        <is>
          <t>Não</t>
        </is>
      </c>
      <c r="U12" t="inlineStr">
        <is>
          <t>Sim</t>
        </is>
      </c>
      <c r="V12" t="inlineStr">
        <is>
          <t>Sim</t>
        </is>
      </c>
      <c r="W12" t="inlineStr">
        <is>
          <t>Não</t>
        </is>
      </c>
      <c r="X12" t="inlineStr">
        <is>
          <t>Sim</t>
        </is>
      </c>
      <c r="Y12" t="inlineStr">
        <is>
          <t>Sim</t>
        </is>
      </c>
      <c r="Z12" t="inlineStr">
        <is>
          <t>Não</t>
        </is>
      </c>
      <c r="AA12" t="inlineStr">
        <is>
          <t>Sim</t>
        </is>
      </c>
      <c r="AB12" t="inlineStr">
        <is>
          <t>Não</t>
        </is>
      </c>
      <c r="AC12" t="inlineStr">
        <is>
          <t>Sim</t>
        </is>
      </c>
      <c r="AD12" t="inlineStr">
        <is>
          <t>Sim</t>
        </is>
      </c>
      <c r="AE12" t="inlineStr">
        <is>
          <t>Sim</t>
        </is>
      </c>
      <c r="AF12" t="inlineStr">
        <is>
          <t>Não</t>
        </is>
      </c>
      <c r="AG12" t="inlineStr">
        <is>
          <t>Não</t>
        </is>
      </c>
    </row>
    <row r="13">
      <c r="A13" t="inlineStr">
        <is>
          <t>P2.5</t>
        </is>
      </c>
      <c r="B13" t="inlineStr">
        <is>
          <t>2</t>
        </is>
      </c>
      <c r="C13" t="inlineStr">
        <is>
          <t>Não</t>
        </is>
      </c>
      <c r="D13" t="inlineStr">
        <is>
          <t>Não</t>
        </is>
      </c>
      <c r="E13" t="inlineStr">
        <is>
          <t>Não</t>
        </is>
      </c>
      <c r="F13" t="inlineStr">
        <is>
          <t>Não</t>
        </is>
      </c>
      <c r="G13" t="inlineStr">
        <is>
          <t>Não</t>
        </is>
      </c>
      <c r="H13" t="inlineStr">
        <is>
          <t>Não</t>
        </is>
      </c>
      <c r="I13" t="inlineStr">
        <is>
          <t>Não</t>
        </is>
      </c>
      <c r="J13" t="inlineStr">
        <is>
          <t>Não</t>
        </is>
      </c>
      <c r="K13" t="inlineStr">
        <is>
          <t>Não</t>
        </is>
      </c>
      <c r="L13" t="inlineStr">
        <is>
          <t>Não</t>
        </is>
      </c>
      <c r="M13" t="inlineStr">
        <is>
          <t>Sim</t>
        </is>
      </c>
      <c r="N13" t="inlineStr">
        <is>
          <t>Não</t>
        </is>
      </c>
      <c r="O13" t="inlineStr">
        <is>
          <t>Não</t>
        </is>
      </c>
      <c r="P13" t="inlineStr">
        <is>
          <t>Não</t>
        </is>
      </c>
      <c r="Q13" t="inlineStr">
        <is>
          <t>Não</t>
        </is>
      </c>
      <c r="R13" t="inlineStr">
        <is>
          <t>Não</t>
        </is>
      </c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Sim</t>
        </is>
      </c>
      <c r="W13" t="inlineStr">
        <is>
          <t>Não</t>
        </is>
      </c>
      <c r="X13" t="inlineStr">
        <is>
          <t>Sim</t>
        </is>
      </c>
      <c r="Y13" t="inlineStr">
        <is>
          <t>Sim</t>
        </is>
      </c>
      <c r="Z13" t="inlineStr">
        <is>
          <t>Não</t>
        </is>
      </c>
      <c r="AA13" t="inlineStr">
        <is>
          <t>Sim</t>
        </is>
      </c>
      <c r="AB13" t="inlineStr">
        <is>
          <t>Não</t>
        </is>
      </c>
      <c r="AC13" t="inlineStr">
        <is>
          <t>Sim</t>
        </is>
      </c>
      <c r="AD13" t="inlineStr">
        <is>
          <t>Sim</t>
        </is>
      </c>
      <c r="AE13" t="inlineStr">
        <is>
          <t>Sim</t>
        </is>
      </c>
      <c r="AF13" t="inlineStr">
        <is>
          <t>Não</t>
        </is>
      </c>
      <c r="AG13" t="inlineStr">
        <is>
          <t>Não</t>
        </is>
      </c>
    </row>
    <row r="14">
      <c r="A14" t="inlineStr">
        <is>
          <t>P2.6</t>
        </is>
      </c>
      <c r="B14" t="inlineStr">
        <is>
          <t>2</t>
        </is>
      </c>
      <c r="C14" t="inlineStr">
        <is>
          <t>Não</t>
        </is>
      </c>
      <c r="D14" t="inlineStr">
        <is>
          <t>Não</t>
        </is>
      </c>
      <c r="E14" t="inlineStr">
        <is>
          <t>Não</t>
        </is>
      </c>
      <c r="F14" t="inlineStr">
        <is>
          <t>Não</t>
        </is>
      </c>
      <c r="G14" t="inlineStr">
        <is>
          <t>Não</t>
        </is>
      </c>
      <c r="H14" t="inlineStr">
        <is>
          <t>Não</t>
        </is>
      </c>
      <c r="I14" t="inlineStr">
        <is>
          <t>Não</t>
        </is>
      </c>
      <c r="J14" t="inlineStr">
        <is>
          <t>Não</t>
        </is>
      </c>
      <c r="K14" t="inlineStr">
        <is>
          <t>Não</t>
        </is>
      </c>
      <c r="L14" t="inlineStr">
        <is>
          <t>Não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Não</t>
        </is>
      </c>
      <c r="Q14" t="inlineStr">
        <is>
          <t>Não</t>
        </is>
      </c>
      <c r="R14" t="inlineStr">
        <is>
          <t>Não</t>
        </is>
      </c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Sim</t>
        </is>
      </c>
      <c r="W14" t="inlineStr">
        <is>
          <t>Não</t>
        </is>
      </c>
      <c r="X14" t="inlineStr">
        <is>
          <t>Sim</t>
        </is>
      </c>
      <c r="Y14" t="inlineStr">
        <is>
          <t>Sim</t>
        </is>
      </c>
      <c r="Z14" t="inlineStr">
        <is>
          <t>Não</t>
        </is>
      </c>
      <c r="AA14" t="inlineStr">
        <is>
          <t>Sim</t>
        </is>
      </c>
      <c r="AB14" t="inlineStr">
        <is>
          <t>Não</t>
        </is>
      </c>
      <c r="AC14" t="inlineStr">
        <is>
          <t>Sim</t>
        </is>
      </c>
      <c r="AD14" t="inlineStr">
        <is>
          <t>Sim</t>
        </is>
      </c>
      <c r="AE14" t="inlineStr">
        <is>
          <t>Sim</t>
        </is>
      </c>
      <c r="AF14" t="inlineStr">
        <is>
          <t>Não</t>
        </is>
      </c>
      <c r="AG14" t="inlineStr">
        <is>
          <t>Não</t>
        </is>
      </c>
    </row>
    <row r="15">
      <c r="A15" t="inlineStr">
        <is>
          <t>P2.7</t>
        </is>
      </c>
      <c r="B15" t="inlineStr">
        <is>
          <t>2</t>
        </is>
      </c>
      <c r="C15" t="inlineStr">
        <is>
          <t>Não</t>
        </is>
      </c>
      <c r="D15" t="inlineStr">
        <is>
          <t>Não</t>
        </is>
      </c>
      <c r="E15" t="inlineStr">
        <is>
          <t>Não</t>
        </is>
      </c>
      <c r="F15" t="inlineStr">
        <is>
          <t>Não</t>
        </is>
      </c>
      <c r="G15" t="inlineStr">
        <is>
          <t>Não</t>
        </is>
      </c>
      <c r="H15" t="inlineStr">
        <is>
          <t>Não</t>
        </is>
      </c>
      <c r="I15" t="inlineStr">
        <is>
          <t>Não</t>
        </is>
      </c>
      <c r="J15" t="inlineStr">
        <is>
          <t>Não</t>
        </is>
      </c>
      <c r="K15" t="inlineStr">
        <is>
          <t>Não</t>
        </is>
      </c>
      <c r="L15" t="inlineStr">
        <is>
          <t>Não</t>
        </is>
      </c>
      <c r="M15" t="inlineStr">
        <is>
          <t>Sim</t>
        </is>
      </c>
      <c r="N15" t="inlineStr">
        <is>
          <t>Não</t>
        </is>
      </c>
      <c r="O15" t="inlineStr">
        <is>
          <t>Não</t>
        </is>
      </c>
      <c r="P15" t="inlineStr">
        <is>
          <t>Não</t>
        </is>
      </c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Sim</t>
        </is>
      </c>
      <c r="W15" t="inlineStr">
        <is>
          <t>Não</t>
        </is>
      </c>
      <c r="X15" t="inlineStr">
        <is>
          <t>Sim</t>
        </is>
      </c>
      <c r="Y15" t="inlineStr">
        <is>
          <t>Sim</t>
        </is>
      </c>
      <c r="Z15" t="inlineStr">
        <is>
          <t>Não</t>
        </is>
      </c>
      <c r="AA15" t="inlineStr">
        <is>
          <t>Sim</t>
        </is>
      </c>
      <c r="AB15" t="inlineStr">
        <is>
          <t>Não</t>
        </is>
      </c>
      <c r="AC15" t="inlineStr">
        <is>
          <t>Sim</t>
        </is>
      </c>
      <c r="AD15" t="inlineStr">
        <is>
          <t>Sim</t>
        </is>
      </c>
      <c r="AE15" t="inlineStr">
        <is>
          <t>Sim</t>
        </is>
      </c>
      <c r="AF15" t="inlineStr">
        <is>
          <t>Não</t>
        </is>
      </c>
      <c r="AG15" t="inlineStr">
        <is>
          <t>Não</t>
        </is>
      </c>
    </row>
    <row r="16">
      <c r="A16" t="inlineStr">
        <is>
          <t>P2.8</t>
        </is>
      </c>
      <c r="B16" t="inlineStr">
        <is>
          <t>2</t>
        </is>
      </c>
      <c r="C16" t="inlineStr">
        <is>
          <t>Sim</t>
        </is>
      </c>
      <c r="D16" t="inlineStr">
        <is>
          <t>Sim</t>
        </is>
      </c>
      <c r="E16" t="inlineStr">
        <is>
          <t>Sim</t>
        </is>
      </c>
      <c r="F16" t="inlineStr">
        <is>
          <t>Sim</t>
        </is>
      </c>
      <c r="G16" t="inlineStr">
        <is>
          <t>Sim</t>
        </is>
      </c>
      <c r="H16" t="inlineStr">
        <is>
          <t>Sim</t>
        </is>
      </c>
      <c r="I16" t="inlineStr">
        <is>
          <t>Sim</t>
        </is>
      </c>
      <c r="J16" t="inlineStr">
        <is>
          <t>Sim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inlineStr">
        <is>
          <t>Sim</t>
        </is>
      </c>
      <c r="P16" t="inlineStr">
        <is>
          <t>Sim</t>
        </is>
      </c>
      <c r="Q16" t="inlineStr">
        <is>
          <t>Sim</t>
        </is>
      </c>
      <c r="R16" t="inlineStr">
        <is>
          <t>Sim</t>
        </is>
      </c>
      <c r="S16" t="inlineStr">
        <is>
          <t>Sim</t>
        </is>
      </c>
      <c r="T16" t="inlineStr">
        <is>
          <t>Sim</t>
        </is>
      </c>
      <c r="U16" t="inlineStr">
        <is>
          <t>Sim</t>
        </is>
      </c>
      <c r="V16" t="inlineStr">
        <is>
          <t>Não</t>
        </is>
      </c>
      <c r="W16" t="inlineStr">
        <is>
          <t>Sim</t>
        </is>
      </c>
      <c r="X16" t="inlineStr">
        <is>
          <t>Sim</t>
        </is>
      </c>
      <c r="Y16" t="inlineStr">
        <is>
          <t>Sim</t>
        </is>
      </c>
      <c r="Z16" t="inlineStr">
        <is>
          <t>Sim</t>
        </is>
      </c>
      <c r="AA16" t="inlineStr">
        <is>
          <t>Sim</t>
        </is>
      </c>
      <c r="AB16" t="inlineStr">
        <is>
          <t>Sim</t>
        </is>
      </c>
      <c r="AC16" t="inlineStr">
        <is>
          <t>Sim</t>
        </is>
      </c>
      <c r="AD16" t="inlineStr">
        <is>
          <t>Sim</t>
        </is>
      </c>
      <c r="AE16" t="inlineStr">
        <is>
          <t>Sim</t>
        </is>
      </c>
      <c r="AF16" t="inlineStr">
        <is>
          <t>Sim</t>
        </is>
      </c>
      <c r="AG16" t="inlineStr">
        <is>
          <t>Sim</t>
        </is>
      </c>
    </row>
    <row r="17">
      <c r="A17" t="inlineStr">
        <is>
          <t>P3.1</t>
        </is>
      </c>
      <c r="B17" t="inlineStr">
        <is>
          <t>3</t>
        </is>
      </c>
      <c r="C17" t="inlineStr">
        <is>
          <t>Sim</t>
        </is>
      </c>
      <c r="D17" t="inlineStr">
        <is>
          <t>Sim</t>
        </is>
      </c>
      <c r="E17" t="inlineStr">
        <is>
          <t>Sim</t>
        </is>
      </c>
      <c r="F17" t="inlineStr">
        <is>
          <t>Sim</t>
        </is>
      </c>
      <c r="G17" t="inlineStr">
        <is>
          <t>Sim</t>
        </is>
      </c>
      <c r="H17" t="inlineStr">
        <is>
          <t>Sim</t>
        </is>
      </c>
      <c r="I17" t="inlineStr">
        <is>
          <t>Sim</t>
        </is>
      </c>
      <c r="J17" t="inlineStr">
        <is>
          <t>Sim</t>
        </is>
      </c>
      <c r="K17" t="inlineStr">
        <is>
          <t>Sim</t>
        </is>
      </c>
      <c r="L17" t="inlineStr">
        <is>
          <t>Sim</t>
        </is>
      </c>
      <c r="M17" t="inlineStr">
        <is>
          <t>Não</t>
        </is>
      </c>
      <c r="N17" t="inlineStr">
        <is>
          <t>Sim</t>
        </is>
      </c>
      <c r="O17" t="inlineStr">
        <is>
          <t>Sim</t>
        </is>
      </c>
      <c r="P17" t="inlineStr">
        <is>
          <t>Sim</t>
        </is>
      </c>
      <c r="Q17" t="inlineStr">
        <is>
          <t>Sim</t>
        </is>
      </c>
      <c r="R17" t="inlineStr">
        <is>
          <t>Sim</t>
        </is>
      </c>
      <c r="S17" t="inlineStr">
        <is>
          <t>Sim</t>
        </is>
      </c>
      <c r="T17" t="inlineStr">
        <is>
          <t>Sim</t>
        </is>
      </c>
      <c r="U17" t="inlineStr">
        <is>
          <t>Não</t>
        </is>
      </c>
      <c r="V17" t="inlineStr">
        <is>
          <t>Não</t>
        </is>
      </c>
      <c r="W17" t="inlineStr">
        <is>
          <t>Sim</t>
        </is>
      </c>
      <c r="X17" t="inlineStr">
        <is>
          <t>Não</t>
        </is>
      </c>
      <c r="Y17" t="inlineStr">
        <is>
          <t>Não</t>
        </is>
      </c>
      <c r="Z17" t="inlineStr">
        <is>
          <t>Sim</t>
        </is>
      </c>
      <c r="AA17" t="inlineStr">
        <is>
          <t>Não</t>
        </is>
      </c>
      <c r="AB17" t="inlineStr">
        <is>
          <t>Sim</t>
        </is>
      </c>
      <c r="AC17" t="inlineStr">
        <is>
          <t>Não</t>
        </is>
      </c>
      <c r="AD17" t="inlineStr">
        <is>
          <t>Não</t>
        </is>
      </c>
      <c r="AE17" t="inlineStr">
        <is>
          <t>Não</t>
        </is>
      </c>
      <c r="AF17" t="inlineStr">
        <is>
          <t>Sim</t>
        </is>
      </c>
      <c r="AG17" t="inlineStr">
        <is>
          <t>Sim</t>
        </is>
      </c>
    </row>
    <row r="18">
      <c r="A18" t="inlineStr">
        <is>
          <t>P3.2</t>
        </is>
      </c>
      <c r="B18" t="inlineStr">
        <is>
          <t>3</t>
        </is>
      </c>
      <c r="C18" t="inlineStr">
        <is>
          <t>Sim</t>
        </is>
      </c>
      <c r="D18" t="inlineStr">
        <is>
          <t>Sim</t>
        </is>
      </c>
      <c r="E18" t="inlineStr">
        <is>
          <t>Sim</t>
        </is>
      </c>
      <c r="F18" t="inlineStr">
        <is>
          <t>Sim</t>
        </is>
      </c>
      <c r="G18" t="inlineStr">
        <is>
          <t>Sim</t>
        </is>
      </c>
      <c r="H18" t="inlineStr">
        <is>
          <t>Sim</t>
        </is>
      </c>
      <c r="I18" t="inlineStr">
        <is>
          <t>Sim</t>
        </is>
      </c>
      <c r="J18" t="inlineStr">
        <is>
          <t>Sim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Sim</t>
        </is>
      </c>
      <c r="O18" t="inlineStr">
        <is>
          <t>Sim</t>
        </is>
      </c>
      <c r="P18" t="inlineStr">
        <is>
          <t>Sim</t>
        </is>
      </c>
      <c r="Q18" t="inlineStr">
        <is>
          <t>Sim</t>
        </is>
      </c>
      <c r="R18" t="inlineStr">
        <is>
          <t>Sim</t>
        </is>
      </c>
      <c r="S18" t="inlineStr">
        <is>
          <t>Sim</t>
        </is>
      </c>
      <c r="T18" t="inlineStr">
        <is>
          <t>Sim</t>
        </is>
      </c>
      <c r="U18" t="inlineStr">
        <is>
          <t>Não</t>
        </is>
      </c>
      <c r="V18" t="inlineStr">
        <is>
          <t>Não</t>
        </is>
      </c>
      <c r="W18" t="inlineStr">
        <is>
          <t>Sim</t>
        </is>
      </c>
      <c r="X18" t="inlineStr">
        <is>
          <t>Não</t>
        </is>
      </c>
      <c r="Y18" t="inlineStr">
        <is>
          <t>Não</t>
        </is>
      </c>
      <c r="Z18" t="inlineStr">
        <is>
          <t>Sim</t>
        </is>
      </c>
      <c r="AA18" t="inlineStr">
        <is>
          <t>Não</t>
        </is>
      </c>
      <c r="AB18" t="inlineStr">
        <is>
          <t>Sim</t>
        </is>
      </c>
      <c r="AC18" t="inlineStr">
        <is>
          <t>Não</t>
        </is>
      </c>
      <c r="AD18" t="inlineStr">
        <is>
          <t>Não</t>
        </is>
      </c>
      <c r="AE18" t="inlineStr">
        <is>
          <t>Não</t>
        </is>
      </c>
      <c r="AF18" t="inlineStr">
        <is>
          <t>Sim</t>
        </is>
      </c>
      <c r="AG18" t="inlineStr">
        <is>
          <t>Sim</t>
        </is>
      </c>
    </row>
    <row r="19">
      <c r="A19" t="inlineStr">
        <is>
          <t>P3.3</t>
        </is>
      </c>
      <c r="B19" t="inlineStr">
        <is>
          <t>3</t>
        </is>
      </c>
      <c r="C19" t="inlineStr">
        <is>
          <t>Não</t>
        </is>
      </c>
      <c r="D19" t="inlineStr">
        <is>
          <t>Não</t>
        </is>
      </c>
      <c r="E19" t="inlineStr">
        <is>
          <t>Não</t>
        </is>
      </c>
      <c r="F19" t="inlineStr">
        <is>
          <t>Não</t>
        </is>
      </c>
      <c r="G19" t="inlineStr">
        <is>
          <t>Não</t>
        </is>
      </c>
      <c r="H19" t="inlineStr">
        <is>
          <t>Não</t>
        </is>
      </c>
      <c r="I19" t="inlineStr">
        <is>
          <t>Não</t>
        </is>
      </c>
      <c r="J19" t="inlineStr">
        <is>
          <t>Não</t>
        </is>
      </c>
      <c r="K19" t="inlineStr">
        <is>
          <t>Não</t>
        </is>
      </c>
      <c r="L19" t="inlineStr">
        <is>
          <t>Não</t>
        </is>
      </c>
      <c r="M19" t="inlineStr">
        <is>
          <t>Sim</t>
        </is>
      </c>
      <c r="N19" t="inlineStr">
        <is>
          <t>Não</t>
        </is>
      </c>
      <c r="O19" t="inlineStr">
        <is>
          <t>Sim</t>
        </is>
      </c>
      <c r="P19" t="inlineStr">
        <is>
          <t>Não</t>
        </is>
      </c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Sim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>Não</t>
        </is>
      </c>
      <c r="AA19" t="inlineStr">
        <is>
          <t>Sim</t>
        </is>
      </c>
      <c r="AB19" t="inlineStr">
        <is>
          <t>Não</t>
        </is>
      </c>
      <c r="AC19" t="inlineStr">
        <is>
          <t>Sim</t>
        </is>
      </c>
      <c r="AD19" t="inlineStr">
        <is>
          <t>Sim</t>
        </is>
      </c>
      <c r="AE19" t="inlineStr">
        <is>
          <t>Sim</t>
        </is>
      </c>
      <c r="AF19" t="inlineStr">
        <is>
          <t>Não</t>
        </is>
      </c>
      <c r="AG19" t="inlineStr">
        <is>
          <t>Não</t>
        </is>
      </c>
    </row>
    <row r="20">
      <c r="A20" t="inlineStr">
        <is>
          <t>P3.4</t>
        </is>
      </c>
      <c r="B20" t="inlineStr">
        <is>
          <t>3</t>
        </is>
      </c>
      <c r="C20" t="inlineStr">
        <is>
          <t>Não</t>
        </is>
      </c>
      <c r="D20" t="inlineStr">
        <is>
          <t>Não</t>
        </is>
      </c>
      <c r="E20" t="inlineStr">
        <is>
          <t>Não</t>
        </is>
      </c>
      <c r="F20" t="inlineStr">
        <is>
          <t>Não</t>
        </is>
      </c>
      <c r="G20" t="inlineStr">
        <is>
          <t>Não</t>
        </is>
      </c>
      <c r="H20" t="inlineStr">
        <is>
          <t>Não</t>
        </is>
      </c>
      <c r="I20" t="inlineStr">
        <is>
          <t>Não</t>
        </is>
      </c>
      <c r="J20" t="inlineStr">
        <is>
          <t>Não</t>
        </is>
      </c>
      <c r="K20" t="inlineStr">
        <is>
          <t>Não</t>
        </is>
      </c>
      <c r="L20" t="inlineStr">
        <is>
          <t>Não</t>
        </is>
      </c>
      <c r="M20" t="inlineStr">
        <is>
          <t>Sim</t>
        </is>
      </c>
      <c r="N20" t="inlineStr">
        <is>
          <t>Sim</t>
        </is>
      </c>
      <c r="O20" t="inlineStr">
        <is>
          <t>Sim</t>
        </is>
      </c>
      <c r="P20" t="inlineStr">
        <is>
          <t>Não</t>
        </is>
      </c>
      <c r="Q20" t="inlineStr">
        <is>
          <t>Não</t>
        </is>
      </c>
      <c r="R20" t="inlineStr">
        <is>
          <t>Não</t>
        </is>
      </c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Sim</t>
        </is>
      </c>
      <c r="W20" t="inlineStr">
        <is>
          <t>Não</t>
        </is>
      </c>
      <c r="X20" t="inlineStr">
        <is>
          <t>Sim</t>
        </is>
      </c>
      <c r="Y20" t="inlineStr">
        <is>
          <t>Sim</t>
        </is>
      </c>
      <c r="Z20" t="inlineStr">
        <is>
          <t>Não</t>
        </is>
      </c>
      <c r="AA20" t="inlineStr">
        <is>
          <t>Sim</t>
        </is>
      </c>
      <c r="AB20" t="inlineStr">
        <is>
          <t>Não</t>
        </is>
      </c>
      <c r="AC20" t="inlineStr">
        <is>
          <t>Sim</t>
        </is>
      </c>
      <c r="AD20" t="inlineStr">
        <is>
          <t>Sim</t>
        </is>
      </c>
      <c r="AE20" t="inlineStr">
        <is>
          <t>Sim</t>
        </is>
      </c>
      <c r="AF20" t="inlineStr">
        <is>
          <t>Não</t>
        </is>
      </c>
      <c r="AG20" t="inlineStr">
        <is>
          <t>Não</t>
        </is>
      </c>
    </row>
    <row r="21">
      <c r="A21" t="inlineStr">
        <is>
          <t>P3.5</t>
        </is>
      </c>
      <c r="B21" t="inlineStr">
        <is>
          <t>3</t>
        </is>
      </c>
      <c r="C21" t="inlineStr">
        <is>
          <t>Não</t>
        </is>
      </c>
      <c r="D21" t="inlineStr">
        <is>
          <t>Não</t>
        </is>
      </c>
      <c r="E21" t="inlineStr">
        <is>
          <t>Não</t>
        </is>
      </c>
      <c r="F21" t="inlineStr">
        <is>
          <t>Não</t>
        </is>
      </c>
      <c r="G21" t="inlineStr">
        <is>
          <t>Não</t>
        </is>
      </c>
      <c r="H21" t="inlineStr">
        <is>
          <t>Não</t>
        </is>
      </c>
      <c r="I21" t="inlineStr">
        <is>
          <t>Não</t>
        </is>
      </c>
      <c r="J21" t="inlineStr">
        <is>
          <t>Não</t>
        </is>
      </c>
      <c r="K21" t="inlineStr">
        <is>
          <t>Não</t>
        </is>
      </c>
      <c r="L21" t="inlineStr">
        <is>
          <t>Não</t>
        </is>
      </c>
      <c r="M21" t="inlineStr">
        <is>
          <t>Sim</t>
        </is>
      </c>
      <c r="N21" t="inlineStr">
        <is>
          <t>Sim</t>
        </is>
      </c>
      <c r="O21" t="inlineStr">
        <is>
          <t>Sim</t>
        </is>
      </c>
      <c r="P21" t="inlineStr">
        <is>
          <t>Não</t>
        </is>
      </c>
      <c r="Q21" t="inlineStr">
        <is>
          <t>Não</t>
        </is>
      </c>
      <c r="R21" t="inlineStr">
        <is>
          <t>Não</t>
        </is>
      </c>
      <c r="S21" t="inlineStr">
        <is>
          <t>Não</t>
        </is>
      </c>
      <c r="T21" t="inlineStr">
        <is>
          <t>Não</t>
        </is>
      </c>
      <c r="U21" t="inlineStr">
        <is>
          <t>Sim</t>
        </is>
      </c>
      <c r="V21" t="inlineStr">
        <is>
          <t>Sim</t>
        </is>
      </c>
      <c r="W21" t="inlineStr">
        <is>
          <t>Não</t>
        </is>
      </c>
      <c r="X21" t="inlineStr">
        <is>
          <t>Sim</t>
        </is>
      </c>
      <c r="Y21" t="inlineStr">
        <is>
          <t>Sim</t>
        </is>
      </c>
      <c r="Z21" t="inlineStr">
        <is>
          <t>Não</t>
        </is>
      </c>
      <c r="AA21" t="inlineStr">
        <is>
          <t>Sim</t>
        </is>
      </c>
      <c r="AB21" t="inlineStr">
        <is>
          <t>Não</t>
        </is>
      </c>
      <c r="AC21" t="inlineStr">
        <is>
          <t>Sim</t>
        </is>
      </c>
      <c r="AD21" t="inlineStr">
        <is>
          <t>Sim</t>
        </is>
      </c>
      <c r="AE21" t="inlineStr">
        <is>
          <t>Sim</t>
        </is>
      </c>
      <c r="AF21" t="inlineStr">
        <is>
          <t>Não</t>
        </is>
      </c>
      <c r="AG21" t="inlineStr">
        <is>
          <t>Não</t>
        </is>
      </c>
    </row>
    <row r="22">
      <c r="A22" t="inlineStr">
        <is>
          <t>P3.6</t>
        </is>
      </c>
      <c r="B22" t="inlineStr">
        <is>
          <t>3</t>
        </is>
      </c>
      <c r="C22" t="inlineStr">
        <is>
          <t>Não</t>
        </is>
      </c>
      <c r="D22" t="inlineStr">
        <is>
          <t>Não</t>
        </is>
      </c>
      <c r="E22" t="inlineStr">
        <is>
          <t>Não</t>
        </is>
      </c>
      <c r="F22" t="inlineStr">
        <is>
          <t>Não</t>
        </is>
      </c>
      <c r="G22" t="inlineStr">
        <is>
          <t>Não</t>
        </is>
      </c>
      <c r="H22" t="inlineStr">
        <is>
          <t>Não</t>
        </is>
      </c>
      <c r="I22" t="inlineStr">
        <is>
          <t>Não</t>
        </is>
      </c>
      <c r="J22" t="inlineStr">
        <is>
          <t>Não</t>
        </is>
      </c>
      <c r="K22" t="inlineStr">
        <is>
          <t>Não</t>
        </is>
      </c>
      <c r="L22" t="inlineStr">
        <is>
          <t>Não</t>
        </is>
      </c>
      <c r="M22" t="inlineStr">
        <is>
          <t>Sim</t>
        </is>
      </c>
      <c r="N22" t="inlineStr">
        <is>
          <t>Sim</t>
        </is>
      </c>
      <c r="O22" t="inlineStr">
        <is>
          <t>Sim</t>
        </is>
      </c>
      <c r="P22" t="inlineStr">
        <is>
          <t>Não</t>
        </is>
      </c>
      <c r="Q22" t="inlineStr">
        <is>
          <t>Não</t>
        </is>
      </c>
      <c r="R22" t="inlineStr">
        <is>
          <t>Não</t>
        </is>
      </c>
      <c r="S22" t="inlineStr">
        <is>
          <t>Não</t>
        </is>
      </c>
      <c r="T22" t="inlineStr">
        <is>
          <t>Não</t>
        </is>
      </c>
      <c r="U22" t="inlineStr">
        <is>
          <t>Sim</t>
        </is>
      </c>
      <c r="V22" t="inlineStr">
        <is>
          <t>Sim</t>
        </is>
      </c>
      <c r="W22" t="inlineStr">
        <is>
          <t>Não</t>
        </is>
      </c>
      <c r="X22" t="inlineStr">
        <is>
          <t>Sim</t>
        </is>
      </c>
      <c r="Y22" t="inlineStr">
        <is>
          <t>Sim</t>
        </is>
      </c>
      <c r="Z22" t="inlineStr">
        <is>
          <t>Não</t>
        </is>
      </c>
      <c r="AA22" t="inlineStr">
        <is>
          <t>Sim</t>
        </is>
      </c>
      <c r="AB22" t="inlineStr">
        <is>
          <t>Não</t>
        </is>
      </c>
      <c r="AC22" t="inlineStr">
        <is>
          <t>Sim</t>
        </is>
      </c>
      <c r="AD22" t="inlineStr">
        <is>
          <t>Sim</t>
        </is>
      </c>
      <c r="AE22" t="inlineStr">
        <is>
          <t>Sim</t>
        </is>
      </c>
      <c r="AF22" t="inlineStr">
        <is>
          <t>Não</t>
        </is>
      </c>
      <c r="AG22" t="inlineStr">
        <is>
          <t>Não</t>
        </is>
      </c>
    </row>
    <row r="23">
      <c r="A23" t="inlineStr">
        <is>
          <t>P3.7</t>
        </is>
      </c>
      <c r="B23" t="inlineStr">
        <is>
          <t>3</t>
        </is>
      </c>
      <c r="C23" t="inlineStr">
        <is>
          <t>Sim</t>
        </is>
      </c>
      <c r="D23" t="inlineStr">
        <is>
          <t>Não</t>
        </is>
      </c>
      <c r="E23" t="inlineStr">
        <is>
          <t>Não</t>
        </is>
      </c>
      <c r="F23" t="inlineStr">
        <is>
          <t>Não</t>
        </is>
      </c>
      <c r="G23" t="inlineStr">
        <is>
          <t>Sim</t>
        </is>
      </c>
      <c r="H23" t="inlineStr">
        <is>
          <t>Não</t>
        </is>
      </c>
      <c r="I23" t="inlineStr">
        <is>
          <t>Não</t>
        </is>
      </c>
      <c r="J23" t="inlineStr">
        <is>
          <t>Não</t>
        </is>
      </c>
      <c r="K23" t="inlineStr">
        <is>
          <t>Não</t>
        </is>
      </c>
      <c r="L23" t="inlineStr">
        <is>
          <t>Não</t>
        </is>
      </c>
      <c r="M23" t="inlineStr">
        <is>
          <t>Sim</t>
        </is>
      </c>
      <c r="N23" t="inlineStr">
        <is>
          <t>Sim</t>
        </is>
      </c>
      <c r="O23" t="inlineStr">
        <is>
          <t>Sim</t>
        </is>
      </c>
      <c r="P23" t="inlineStr">
        <is>
          <t>Não</t>
        </is>
      </c>
      <c r="Q23" t="inlineStr">
        <is>
          <t>Sim</t>
        </is>
      </c>
      <c r="R23" t="inlineStr">
        <is>
          <t>Não</t>
        </is>
      </c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Sim</t>
        </is>
      </c>
      <c r="W23" t="inlineStr">
        <is>
          <t>Não</t>
        </is>
      </c>
      <c r="X23" t="inlineStr">
        <is>
          <t>Sim</t>
        </is>
      </c>
      <c r="Y23" t="inlineStr">
        <is>
          <t>Sim</t>
        </is>
      </c>
      <c r="Z23" t="inlineStr">
        <is>
          <t>Não</t>
        </is>
      </c>
      <c r="AA23" t="inlineStr">
        <is>
          <t>Sim</t>
        </is>
      </c>
      <c r="AB23" t="inlineStr">
        <is>
          <t>Não</t>
        </is>
      </c>
      <c r="AC23" t="inlineStr">
        <is>
          <t>Sim</t>
        </is>
      </c>
      <c r="AD23" t="inlineStr">
        <is>
          <t>Sim</t>
        </is>
      </c>
      <c r="AE23" t="inlineStr">
        <is>
          <t>Sim</t>
        </is>
      </c>
      <c r="AF23" t="inlineStr">
        <is>
          <t>Não</t>
        </is>
      </c>
      <c r="AG23" t="inlineStr">
        <is>
          <t>Não</t>
        </is>
      </c>
    </row>
    <row r="24">
      <c r="A24" t="inlineStr">
        <is>
          <t>P4.1</t>
        </is>
      </c>
      <c r="B24" t="inlineStr">
        <is>
          <t>4</t>
        </is>
      </c>
      <c r="C24" t="inlineStr">
        <is>
          <t>Não</t>
        </is>
      </c>
      <c r="D24" t="inlineStr">
        <is>
          <t>Não</t>
        </is>
      </c>
      <c r="E24" t="inlineStr">
        <is>
          <t>Não</t>
        </is>
      </c>
      <c r="F24" t="inlineStr">
        <is>
          <t>Não</t>
        </is>
      </c>
      <c r="G24" t="inlineStr">
        <is>
          <t>Não</t>
        </is>
      </c>
      <c r="H24" t="inlineStr">
        <is>
          <t>Não</t>
        </is>
      </c>
      <c r="I24" t="inlineStr">
        <is>
          <t>Não</t>
        </is>
      </c>
      <c r="J24" t="inlineStr">
        <is>
          <t>Não</t>
        </is>
      </c>
      <c r="K24" t="inlineStr">
        <is>
          <t>Não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inlineStr">
        <is>
          <t>Não</t>
        </is>
      </c>
      <c r="P24" t="inlineStr">
        <is>
          <t>Não</t>
        </is>
      </c>
      <c r="Q24" t="inlineStr">
        <is>
          <t>Não</t>
        </is>
      </c>
      <c r="R24" t="inlineStr">
        <is>
          <t>Não</t>
        </is>
      </c>
      <c r="S24" t="inlineStr">
        <is>
          <t>Não</t>
        </is>
      </c>
      <c r="T24" t="inlineStr">
        <is>
          <t>Sim</t>
        </is>
      </c>
      <c r="U24" t="inlineStr">
        <is>
          <t>Não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Não</t>
        </is>
      </c>
      <c r="Z24" t="inlineStr">
        <is>
          <t>Sim</t>
        </is>
      </c>
      <c r="AA24" t="inlineStr">
        <is>
          <t>Sim</t>
        </is>
      </c>
      <c r="AB24" t="inlineStr">
        <is>
          <t>Sim</t>
        </is>
      </c>
      <c r="AC24" t="inlineStr">
        <is>
          <t>Não</t>
        </is>
      </c>
      <c r="AD24" t="inlineStr">
        <is>
          <t>Não</t>
        </is>
      </c>
      <c r="AE24" t="inlineStr">
        <is>
          <t>Não</t>
        </is>
      </c>
      <c r="AF24" t="inlineStr">
        <is>
          <t>Sim</t>
        </is>
      </c>
      <c r="AG24" t="inlineStr">
        <is>
          <t>Não</t>
        </is>
      </c>
    </row>
    <row r="25">
      <c r="A25" t="inlineStr">
        <is>
          <t>P4.2</t>
        </is>
      </c>
      <c r="B25" t="inlineStr">
        <is>
          <t>4</t>
        </is>
      </c>
      <c r="C25" t="inlineStr">
        <is>
          <t>Não</t>
        </is>
      </c>
      <c r="D25" t="inlineStr">
        <is>
          <t>Não</t>
        </is>
      </c>
      <c r="E25" t="inlineStr">
        <is>
          <t>Não</t>
        </is>
      </c>
      <c r="F25" t="inlineStr">
        <is>
          <t>Não</t>
        </is>
      </c>
      <c r="G25" t="inlineStr">
        <is>
          <t>Não</t>
        </is>
      </c>
      <c r="H25" t="inlineStr">
        <is>
          <t>Não</t>
        </is>
      </c>
      <c r="I25" t="inlineStr">
        <is>
          <t>Não</t>
        </is>
      </c>
      <c r="J25" t="inlineStr">
        <is>
          <t>Não</t>
        </is>
      </c>
      <c r="K25" t="inlineStr">
        <is>
          <t>Não</t>
        </is>
      </c>
      <c r="L25" t="inlineStr">
        <is>
          <t>Sim</t>
        </is>
      </c>
      <c r="M25" t="inlineStr">
        <is>
          <t>Não</t>
        </is>
      </c>
      <c r="N25" t="inlineStr">
        <is>
          <t>Não</t>
        </is>
      </c>
      <c r="O25" t="inlineStr">
        <is>
          <t>Não</t>
        </is>
      </c>
      <c r="P25" t="inlineStr">
        <is>
          <t>Não</t>
        </is>
      </c>
      <c r="Q25" t="inlineStr">
        <is>
          <t>Não</t>
        </is>
      </c>
      <c r="R25" t="inlineStr">
        <is>
          <t>Não</t>
        </is>
      </c>
      <c r="S25" t="inlineStr">
        <is>
          <t>Não</t>
        </is>
      </c>
      <c r="T25" t="inlineStr">
        <is>
          <t>Sim</t>
        </is>
      </c>
      <c r="U25" t="inlineStr">
        <is>
          <t>Não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Não</t>
        </is>
      </c>
      <c r="Z25" t="inlineStr">
        <is>
          <t>Sim</t>
        </is>
      </c>
      <c r="AA25" t="inlineStr">
        <is>
          <t>Não</t>
        </is>
      </c>
      <c r="AB25" t="inlineStr">
        <is>
          <t>Sim</t>
        </is>
      </c>
      <c r="AC25" t="inlineStr">
        <is>
          <t>Não</t>
        </is>
      </c>
      <c r="AD25" t="inlineStr">
        <is>
          <t>Não</t>
        </is>
      </c>
      <c r="AE25" t="inlineStr">
        <is>
          <t>Não</t>
        </is>
      </c>
      <c r="AF25" t="inlineStr">
        <is>
          <t>Sim</t>
        </is>
      </c>
      <c r="AG25" t="inlineStr">
        <is>
          <t>Não</t>
        </is>
      </c>
    </row>
    <row r="26">
      <c r="A26" t="inlineStr">
        <is>
          <t>P4.3</t>
        </is>
      </c>
      <c r="B26" t="inlineStr">
        <is>
          <t>4</t>
        </is>
      </c>
      <c r="C26" t="inlineStr">
        <is>
          <t>Sim</t>
        </is>
      </c>
      <c r="D26" t="inlineStr">
        <is>
          <t>Não</t>
        </is>
      </c>
      <c r="E26" t="inlineStr">
        <is>
          <t>Sim</t>
        </is>
      </c>
      <c r="F26" t="inlineStr">
        <is>
          <t>Não</t>
        </is>
      </c>
      <c r="G26" t="inlineStr">
        <is>
          <t>Sim</t>
        </is>
      </c>
      <c r="H26" t="inlineStr">
        <is>
          <t>Não</t>
        </is>
      </c>
      <c r="I26" t="inlineStr">
        <is>
          <t>Não</t>
        </is>
      </c>
      <c r="J26" t="inlineStr">
        <is>
          <t>Não</t>
        </is>
      </c>
      <c r="K26" t="inlineStr">
        <is>
          <t>Não</t>
        </is>
      </c>
      <c r="L26" t="inlineStr">
        <is>
          <t>Não</t>
        </is>
      </c>
      <c r="M26" t="inlineStr">
        <is>
          <t>Sim</t>
        </is>
      </c>
      <c r="N26" t="inlineStr">
        <is>
          <t>Sim</t>
        </is>
      </c>
      <c r="O26" t="inlineStr">
        <is>
          <t>Sim</t>
        </is>
      </c>
      <c r="P26" t="inlineStr">
        <is>
          <t>Não</t>
        </is>
      </c>
      <c r="Q26" t="inlineStr">
        <is>
          <t>Sim</t>
        </is>
      </c>
      <c r="R26" t="inlineStr">
        <is>
          <t>Não</t>
        </is>
      </c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Sim</t>
        </is>
      </c>
      <c r="W26" t="inlineStr">
        <is>
          <t>Não</t>
        </is>
      </c>
      <c r="X26" t="inlineStr">
        <is>
          <t>Sim</t>
        </is>
      </c>
      <c r="Y26" t="inlineStr">
        <is>
          <t>Sim</t>
        </is>
      </c>
      <c r="Z26" t="inlineStr">
        <is>
          <t>Não</t>
        </is>
      </c>
      <c r="AA26" t="inlineStr">
        <is>
          <t>Sim</t>
        </is>
      </c>
      <c r="AB26" t="inlineStr">
        <is>
          <t>Não</t>
        </is>
      </c>
      <c r="AC26" t="inlineStr">
        <is>
          <t>Sim</t>
        </is>
      </c>
      <c r="AD26" t="inlineStr">
        <is>
          <t>Sim</t>
        </is>
      </c>
      <c r="AE26" t="inlineStr">
        <is>
          <t>Sim</t>
        </is>
      </c>
      <c r="AF26" t="inlineStr">
        <is>
          <t>Não</t>
        </is>
      </c>
      <c r="AG26" t="inlineStr">
        <is>
          <t>Não</t>
        </is>
      </c>
    </row>
    <row r="27">
      <c r="A27" t="inlineStr">
        <is>
          <t>P5.1</t>
        </is>
      </c>
      <c r="B27" t="inlineStr">
        <is>
          <t>5</t>
        </is>
      </c>
      <c r="C27" t="inlineStr">
        <is>
          <t>Sim</t>
        </is>
      </c>
      <c r="D27" t="inlineStr">
        <is>
          <t>Sim</t>
        </is>
      </c>
      <c r="E27" t="inlineStr">
        <is>
          <t>Sim</t>
        </is>
      </c>
      <c r="F27" t="inlineStr">
        <is>
          <t>Sim</t>
        </is>
      </c>
      <c r="G27" t="inlineStr">
        <is>
          <t>Sim</t>
        </is>
      </c>
      <c r="H27" t="inlineStr">
        <is>
          <t>Sim</t>
        </is>
      </c>
      <c r="I27" t="inlineStr">
        <is>
          <t>Sim</t>
        </is>
      </c>
      <c r="J27" t="inlineStr">
        <is>
          <t>Sim</t>
        </is>
      </c>
      <c r="K27" t="inlineStr">
        <is>
          <t>Sim</t>
        </is>
      </c>
      <c r="L27" t="inlineStr">
        <is>
          <t>Sim</t>
        </is>
      </c>
      <c r="M27" t="inlineStr">
        <is>
          <t>Não</t>
        </is>
      </c>
      <c r="N27" t="inlineStr">
        <is>
          <t>Não</t>
        </is>
      </c>
      <c r="O27" t="inlineStr">
        <is>
          <t>Não</t>
        </is>
      </c>
      <c r="P27" t="inlineStr">
        <is>
          <t>Sim</t>
        </is>
      </c>
      <c r="Q27" t="inlineStr">
        <is>
          <t>Sim</t>
        </is>
      </c>
      <c r="R27" t="inlineStr">
        <is>
          <t>Sim</t>
        </is>
      </c>
      <c r="S27" t="inlineStr">
        <is>
          <t>Sim</t>
        </is>
      </c>
      <c r="T27" t="inlineStr">
        <is>
          <t>Sim</t>
        </is>
      </c>
      <c r="U27" t="inlineStr">
        <is>
          <t>Não</t>
        </is>
      </c>
      <c r="V27" t="inlineStr">
        <is>
          <t>Não</t>
        </is>
      </c>
      <c r="W27" t="inlineStr">
        <is>
          <t>Sim</t>
        </is>
      </c>
      <c r="X27" t="inlineStr">
        <is>
          <t>Não</t>
        </is>
      </c>
      <c r="Y27" t="inlineStr">
        <is>
          <t>Não</t>
        </is>
      </c>
      <c r="Z27" t="inlineStr">
        <is>
          <t>Sim</t>
        </is>
      </c>
      <c r="AA27" t="inlineStr">
        <is>
          <t>Não</t>
        </is>
      </c>
      <c r="AB27" t="inlineStr">
        <is>
          <t>Sim</t>
        </is>
      </c>
      <c r="AC27" t="inlineStr">
        <is>
          <t>Não</t>
        </is>
      </c>
      <c r="AD27" t="inlineStr">
        <is>
          <t>Não</t>
        </is>
      </c>
      <c r="AE27" t="inlineStr">
        <is>
          <t>Não</t>
        </is>
      </c>
      <c r="AF27" t="inlineStr">
        <is>
          <t>Sim</t>
        </is>
      </c>
      <c r="AG27" t="inlineStr">
        <is>
          <t>Sim</t>
        </is>
      </c>
    </row>
    <row r="28">
      <c r="A28" t="inlineStr">
        <is>
          <t>P5.2</t>
        </is>
      </c>
      <c r="B28" t="inlineStr">
        <is>
          <t>5</t>
        </is>
      </c>
      <c r="C28" t="inlineStr">
        <is>
          <t>Não</t>
        </is>
      </c>
      <c r="D28" t="inlineStr">
        <is>
          <t>Não</t>
        </is>
      </c>
      <c r="E28" t="inlineStr">
        <is>
          <t>Não</t>
        </is>
      </c>
      <c r="F28" t="inlineStr">
        <is>
          <t>Sim</t>
        </is>
      </c>
      <c r="G28" t="inlineStr">
        <is>
          <t>Sim</t>
        </is>
      </c>
      <c r="H28" t="inlineStr">
        <is>
          <t>Sim</t>
        </is>
      </c>
      <c r="I28" t="inlineStr">
        <is>
          <t>Sim</t>
        </is>
      </c>
      <c r="J28" t="inlineStr">
        <is>
          <t>Sim</t>
        </is>
      </c>
      <c r="K28" t="inlineStr">
        <is>
          <t>Sim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Sim</t>
        </is>
      </c>
      <c r="Q28" t="inlineStr">
        <is>
          <t>Sim</t>
        </is>
      </c>
      <c r="R28" t="inlineStr">
        <is>
          <t>Sim</t>
        </is>
      </c>
      <c r="S28" t="inlineStr">
        <is>
          <t>Sim</t>
        </is>
      </c>
      <c r="T28" t="inlineStr">
        <is>
          <t>Sim</t>
        </is>
      </c>
      <c r="U28" t="inlineStr">
        <is>
          <t>Não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Não</t>
        </is>
      </c>
      <c r="Z28" t="inlineStr">
        <is>
          <t>Sim</t>
        </is>
      </c>
      <c r="AA28" t="inlineStr">
        <is>
          <t>Não</t>
        </is>
      </c>
      <c r="AB28" t="inlineStr">
        <is>
          <t>Sim</t>
        </is>
      </c>
      <c r="AC28" t="inlineStr">
        <is>
          <t>Não</t>
        </is>
      </c>
      <c r="AD28" t="inlineStr">
        <is>
          <t>Não</t>
        </is>
      </c>
      <c r="AE28" t="inlineStr">
        <is>
          <t>Não</t>
        </is>
      </c>
      <c r="AF28" t="inlineStr">
        <is>
          <t>Sim</t>
        </is>
      </c>
      <c r="AG28" t="inlineStr">
        <is>
          <t>Não</t>
        </is>
      </c>
    </row>
    <row r="29">
      <c r="A29" t="inlineStr">
        <is>
          <t>P5.3</t>
        </is>
      </c>
      <c r="B29" t="inlineStr">
        <is>
          <t>5</t>
        </is>
      </c>
      <c r="C29" t="inlineStr">
        <is>
          <t>Não</t>
        </is>
      </c>
      <c r="D29" t="inlineStr">
        <is>
          <t>Não</t>
        </is>
      </c>
      <c r="E29" t="inlineStr">
        <is>
          <t>Não</t>
        </is>
      </c>
      <c r="F29" t="inlineStr">
        <is>
          <t>Sim</t>
        </is>
      </c>
      <c r="G29" t="inlineStr">
        <is>
          <t>Sim</t>
        </is>
      </c>
      <c r="H29" t="inlineStr">
        <is>
          <t>Sim</t>
        </is>
      </c>
      <c r="I29" t="inlineStr">
        <is>
          <t>Sim</t>
        </is>
      </c>
      <c r="J29" t="inlineStr">
        <is>
          <t>Sim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Sim</t>
        </is>
      </c>
      <c r="Q29" t="inlineStr">
        <is>
          <t>Sim</t>
        </is>
      </c>
      <c r="R29" t="inlineStr">
        <is>
          <t>Sim</t>
        </is>
      </c>
      <c r="S29" t="inlineStr">
        <is>
          <t>Sim</t>
        </is>
      </c>
      <c r="T29" t="inlineStr">
        <is>
          <t>Sim</t>
        </is>
      </c>
      <c r="U29" t="inlineStr">
        <is>
          <t>Não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Não</t>
        </is>
      </c>
      <c r="Z29" t="inlineStr">
        <is>
          <t>Sim</t>
        </is>
      </c>
      <c r="AA29" t="inlineStr">
        <is>
          <t>Não</t>
        </is>
      </c>
      <c r="AB29" t="inlineStr">
        <is>
          <t>Sim</t>
        </is>
      </c>
      <c r="AC29" t="inlineStr">
        <is>
          <t>Não</t>
        </is>
      </c>
      <c r="AD29" t="inlineStr">
        <is>
          <t>Não</t>
        </is>
      </c>
      <c r="AE29" t="inlineStr">
        <is>
          <t>Não</t>
        </is>
      </c>
      <c r="AF29" t="inlineStr">
        <is>
          <t>Sim</t>
        </is>
      </c>
      <c r="AG29" t="inlineStr">
        <is>
          <t>Não</t>
        </is>
      </c>
    </row>
    <row r="30">
      <c r="A30" t="inlineStr">
        <is>
          <t>P5.4</t>
        </is>
      </c>
      <c r="B30" t="inlineStr">
        <is>
          <t>5</t>
        </is>
      </c>
      <c r="C30" t="inlineStr">
        <is>
          <t>Não</t>
        </is>
      </c>
      <c r="D30" t="inlineStr">
        <is>
          <t>Não</t>
        </is>
      </c>
      <c r="E30" t="inlineStr">
        <is>
          <t>Não</t>
        </is>
      </c>
      <c r="F30" t="inlineStr">
        <is>
          <t>Sim</t>
        </is>
      </c>
      <c r="G30" t="inlineStr">
        <is>
          <t>Sim</t>
        </is>
      </c>
      <c r="H30" t="inlineStr">
        <is>
          <t>Sim</t>
        </is>
      </c>
      <c r="I30" t="inlineStr">
        <is>
          <t>Sim</t>
        </is>
      </c>
      <c r="J30" t="inlineStr">
        <is>
          <t>Sim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inlineStr">
        <is>
          <t>Não</t>
        </is>
      </c>
      <c r="P30" t="inlineStr">
        <is>
          <t>Sim</t>
        </is>
      </c>
      <c r="Q30" t="inlineStr">
        <is>
          <t>Sim</t>
        </is>
      </c>
      <c r="R30" t="inlineStr">
        <is>
          <t>Sim</t>
        </is>
      </c>
      <c r="S30" t="inlineStr">
        <is>
          <t>Sim</t>
        </is>
      </c>
      <c r="T30" t="inlineStr">
        <is>
          <t>Sim</t>
        </is>
      </c>
      <c r="U30" t="inlineStr">
        <is>
          <t>Não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Não</t>
        </is>
      </c>
      <c r="Z30" t="inlineStr">
        <is>
          <t>Sim</t>
        </is>
      </c>
      <c r="AA30" t="inlineStr">
        <is>
          <t>Não</t>
        </is>
      </c>
      <c r="AB30" t="inlineStr">
        <is>
          <t>Sim</t>
        </is>
      </c>
      <c r="AC30" t="inlineStr">
        <is>
          <t>Não</t>
        </is>
      </c>
      <c r="AD30" t="inlineStr">
        <is>
          <t>Não</t>
        </is>
      </c>
      <c r="AE30" t="inlineStr">
        <is>
          <t>Não</t>
        </is>
      </c>
      <c r="AF30" t="inlineStr">
        <is>
          <t>Sim</t>
        </is>
      </c>
      <c r="AG30" t="inlineStr">
        <is>
          <t>Não</t>
        </is>
      </c>
    </row>
    <row r="31">
      <c r="A31" t="inlineStr">
        <is>
          <t>P5.5</t>
        </is>
      </c>
      <c r="B31" t="inlineStr">
        <is>
          <t>5</t>
        </is>
      </c>
      <c r="C31" t="inlineStr">
        <is>
          <t>Não</t>
        </is>
      </c>
      <c r="D31" t="inlineStr">
        <is>
          <t>Não</t>
        </is>
      </c>
      <c r="E31" t="inlineStr">
        <is>
          <t>Não</t>
        </is>
      </c>
      <c r="F31" t="inlineStr">
        <is>
          <t>Sim</t>
        </is>
      </c>
      <c r="G31" t="inlineStr">
        <is>
          <t>Sim</t>
        </is>
      </c>
      <c r="H31" t="inlineStr">
        <is>
          <t>Sim</t>
        </is>
      </c>
      <c r="I31" t="inlineStr">
        <is>
          <t>Sim</t>
        </is>
      </c>
      <c r="J31" t="inlineStr">
        <is>
          <t>Sim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Sim</t>
        </is>
      </c>
      <c r="Q31" t="inlineStr">
        <is>
          <t>Sim</t>
        </is>
      </c>
      <c r="R31" t="inlineStr">
        <is>
          <t>Sim</t>
        </is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Não</t>
        </is>
      </c>
      <c r="Z31" t="inlineStr">
        <is>
          <t>Sim</t>
        </is>
      </c>
      <c r="AA31" t="inlineStr">
        <is>
          <t>Não</t>
        </is>
      </c>
      <c r="AB31" t="inlineStr">
        <is>
          <t>Sim</t>
        </is>
      </c>
      <c r="AC31" t="inlineStr">
        <is>
          <t>Não</t>
        </is>
      </c>
      <c r="AD31" t="inlineStr">
        <is>
          <t>Não</t>
        </is>
      </c>
      <c r="AE31" t="inlineStr">
        <is>
          <t>Não</t>
        </is>
      </c>
      <c r="AF31" t="inlineStr">
        <is>
          <t>Sim</t>
        </is>
      </c>
      <c r="AG31" t="inlineStr">
        <is>
          <t>Não</t>
        </is>
      </c>
    </row>
    <row r="32">
      <c r="A32" t="inlineStr">
        <is>
          <t>P5.6</t>
        </is>
      </c>
      <c r="B32" t="inlineStr">
        <is>
          <t>5</t>
        </is>
      </c>
      <c r="C32" t="inlineStr">
        <is>
          <t>Sim</t>
        </is>
      </c>
      <c r="D32" t="inlineStr">
        <is>
          <t>Sim</t>
        </is>
      </c>
      <c r="E32" t="inlineStr">
        <is>
          <t>Sim</t>
        </is>
      </c>
      <c r="F32" t="inlineStr">
        <is>
          <t>Não</t>
        </is>
      </c>
      <c r="G32" t="inlineStr">
        <is>
          <t>Não</t>
        </is>
      </c>
      <c r="H32" t="inlineStr">
        <is>
          <t>Não</t>
        </is>
      </c>
      <c r="I32" t="inlineStr">
        <is>
          <t>Não</t>
        </is>
      </c>
      <c r="J32" t="inlineStr">
        <is>
          <t>Não</t>
        </is>
      </c>
      <c r="K32" t="inlineStr">
        <is>
          <t>Não</t>
        </is>
      </c>
      <c r="L32" t="inlineStr">
        <is>
          <t>Não</t>
        </is>
      </c>
      <c r="M32" t="inlineStr">
        <is>
          <t>Sim</t>
        </is>
      </c>
      <c r="N32" t="inlineStr">
        <is>
          <t>Sim</t>
        </is>
      </c>
      <c r="O32" t="inlineStr">
        <is>
          <t>Sim</t>
        </is>
      </c>
      <c r="P32" t="inlineStr">
        <is>
          <t>Não</t>
        </is>
      </c>
      <c r="Q32" t="inlineStr">
        <is>
          <t>Não</t>
        </is>
      </c>
      <c r="R32" t="inlineStr">
        <is>
          <t>Não</t>
        </is>
      </c>
      <c r="S32" t="inlineStr">
        <is>
          <t>Não</t>
        </is>
      </c>
      <c r="T32" t="inlineStr">
        <is>
          <t>Não</t>
        </is>
      </c>
      <c r="U32" t="inlineStr">
        <is>
          <t>Sim</t>
        </is>
      </c>
      <c r="V32" t="inlineStr">
        <is>
          <t>Sim</t>
        </is>
      </c>
      <c r="W32" t="inlineStr">
        <is>
          <t>Sim</t>
        </is>
      </c>
      <c r="X32" t="inlineStr">
        <is>
          <t>Sim</t>
        </is>
      </c>
      <c r="Y32" t="inlineStr">
        <is>
          <t>Sim</t>
        </is>
      </c>
      <c r="Z32" t="inlineStr">
        <is>
          <t>Não</t>
        </is>
      </c>
      <c r="AA32" t="inlineStr">
        <is>
          <t>Sim</t>
        </is>
      </c>
      <c r="AB32" t="inlineStr">
        <is>
          <t>Não</t>
        </is>
      </c>
      <c r="AC32" t="inlineStr">
        <is>
          <t>Sim</t>
        </is>
      </c>
      <c r="AD32" t="inlineStr">
        <is>
          <t>Sim</t>
        </is>
      </c>
      <c r="AE32" t="inlineStr">
        <is>
          <t>Sim</t>
        </is>
      </c>
      <c r="AF32" t="inlineStr">
        <is>
          <t>Não</t>
        </is>
      </c>
      <c r="AG32" t="inlineStr">
        <is>
          <t>Sim</t>
        </is>
      </c>
    </row>
    <row r="33">
      <c r="A33" t="inlineStr">
        <is>
          <t>P5.7</t>
        </is>
      </c>
      <c r="B33" t="inlineStr">
        <is>
          <t>5</t>
        </is>
      </c>
      <c r="C33" t="inlineStr">
        <is>
          <t>Sim</t>
        </is>
      </c>
      <c r="D33" t="inlineStr">
        <is>
          <t>Sim</t>
        </is>
      </c>
      <c r="E33" t="inlineStr">
        <is>
          <t>Sim</t>
        </is>
      </c>
      <c r="F33" t="inlineStr">
        <is>
          <t>Não</t>
        </is>
      </c>
      <c r="G33" t="inlineStr">
        <is>
          <t>Não</t>
        </is>
      </c>
      <c r="H33" t="inlineStr">
        <is>
          <t>Não</t>
        </is>
      </c>
      <c r="I33" t="inlineStr">
        <is>
          <t>Não</t>
        </is>
      </c>
      <c r="J33" t="inlineStr">
        <is>
          <t>Não</t>
        </is>
      </c>
      <c r="K33" t="inlineStr">
        <is>
          <t>Não</t>
        </is>
      </c>
      <c r="L33" t="inlineStr">
        <is>
          <t>Não</t>
        </is>
      </c>
      <c r="M33" t="inlineStr">
        <is>
          <t>Sim</t>
        </is>
      </c>
      <c r="N33" t="inlineStr">
        <is>
          <t>Sim</t>
        </is>
      </c>
      <c r="O33" t="inlineStr">
        <is>
          <t>Sim</t>
        </is>
      </c>
      <c r="P33" t="inlineStr">
        <is>
          <t>Não</t>
        </is>
      </c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Sim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>Não</t>
        </is>
      </c>
      <c r="AA33" t="inlineStr">
        <is>
          <t>Sim</t>
        </is>
      </c>
      <c r="AB33" t="inlineStr">
        <is>
          <t>Não</t>
        </is>
      </c>
      <c r="AC33" t="inlineStr">
        <is>
          <t>Sim</t>
        </is>
      </c>
      <c r="AD33" t="inlineStr">
        <is>
          <t>Sim</t>
        </is>
      </c>
      <c r="AE33" t="inlineStr">
        <is>
          <t>Sim</t>
        </is>
      </c>
      <c r="AF33" t="inlineStr">
        <is>
          <t>Não</t>
        </is>
      </c>
      <c r="AG33" t="inlineStr">
        <is>
          <t>Sim</t>
        </is>
      </c>
    </row>
    <row r="34">
      <c r="A34" t="inlineStr">
        <is>
          <t>P5.8</t>
        </is>
      </c>
      <c r="B34" t="inlineStr">
        <is>
          <t>5</t>
        </is>
      </c>
      <c r="C34" t="inlineStr">
        <is>
          <t>Sim</t>
        </is>
      </c>
      <c r="D34" t="inlineStr">
        <is>
          <t>Sim</t>
        </is>
      </c>
      <c r="E34" t="inlineStr">
        <is>
          <t>Sim</t>
        </is>
      </c>
      <c r="F34" t="inlineStr">
        <is>
          <t>Não</t>
        </is>
      </c>
      <c r="G34" t="inlineStr">
        <is>
          <t>Não</t>
        </is>
      </c>
      <c r="H34" t="inlineStr">
        <is>
          <t>Não</t>
        </is>
      </c>
      <c r="I34" t="inlineStr">
        <is>
          <t>Não</t>
        </is>
      </c>
      <c r="J34" t="inlineStr">
        <is>
          <t>Não</t>
        </is>
      </c>
      <c r="K34" t="inlineStr">
        <is>
          <t>Não</t>
        </is>
      </c>
      <c r="L34" t="inlineStr">
        <is>
          <t>Não</t>
        </is>
      </c>
      <c r="M34" t="inlineStr">
        <is>
          <t>Sim</t>
        </is>
      </c>
      <c r="N34" t="inlineStr">
        <is>
          <t>Sim</t>
        </is>
      </c>
      <c r="O34" t="inlineStr">
        <is>
          <t>Sim</t>
        </is>
      </c>
      <c r="P34" t="inlineStr">
        <is>
          <t>Não</t>
        </is>
      </c>
      <c r="Q34" t="inlineStr">
        <is>
          <t>Não</t>
        </is>
      </c>
      <c r="R34" t="inlineStr">
        <is>
          <t>Não</t>
        </is>
      </c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Sim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>Não</t>
        </is>
      </c>
      <c r="AA34" t="inlineStr">
        <is>
          <t>Sim</t>
        </is>
      </c>
      <c r="AB34" t="inlineStr">
        <is>
          <t>Não</t>
        </is>
      </c>
      <c r="AC34" t="inlineStr">
        <is>
          <t>Sim</t>
        </is>
      </c>
      <c r="AD34" t="inlineStr">
        <is>
          <t>Sim</t>
        </is>
      </c>
      <c r="AE34" t="inlineStr">
        <is>
          <t>Sim</t>
        </is>
      </c>
      <c r="AF34" t="inlineStr">
        <is>
          <t>Não</t>
        </is>
      </c>
      <c r="AG34" t="inlineStr">
        <is>
          <t>Sim</t>
        </is>
      </c>
    </row>
    <row r="35">
      <c r="A35" t="inlineStr">
        <is>
          <t>P5.9</t>
        </is>
      </c>
      <c r="B35" t="inlineStr">
        <is>
          <t>5</t>
        </is>
      </c>
      <c r="C35" t="inlineStr">
        <is>
          <t>Sim</t>
        </is>
      </c>
      <c r="D35" t="inlineStr">
        <is>
          <t>Sim</t>
        </is>
      </c>
      <c r="E35" t="inlineStr">
        <is>
          <t>Sim</t>
        </is>
      </c>
      <c r="F35" t="inlineStr">
        <is>
          <t>Não</t>
        </is>
      </c>
      <c r="G35" t="inlineStr">
        <is>
          <t>Não</t>
        </is>
      </c>
      <c r="H35" t="inlineStr">
        <is>
          <t>Não</t>
        </is>
      </c>
      <c r="I35" t="inlineStr">
        <is>
          <t>Não</t>
        </is>
      </c>
      <c r="J35" t="inlineStr">
        <is>
          <t>Não</t>
        </is>
      </c>
      <c r="K35" t="inlineStr">
        <is>
          <t>Não</t>
        </is>
      </c>
      <c r="L35" t="inlineStr">
        <is>
          <t>Não</t>
        </is>
      </c>
      <c r="M35" t="inlineStr">
        <is>
          <t>Sim</t>
        </is>
      </c>
      <c r="N35" t="inlineStr">
        <is>
          <t>Sim</t>
        </is>
      </c>
      <c r="O35" t="inlineStr">
        <is>
          <t>Sim</t>
        </is>
      </c>
      <c r="P35" t="inlineStr">
        <is>
          <t>Não</t>
        </is>
      </c>
      <c r="Q35" t="inlineStr">
        <is>
          <t>Não</t>
        </is>
      </c>
      <c r="R35" t="inlineStr">
        <is>
          <t>Não</t>
        </is>
      </c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Sim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>Não</t>
        </is>
      </c>
      <c r="AA35" t="inlineStr">
        <is>
          <t>Sim</t>
        </is>
      </c>
      <c r="AB35" t="inlineStr">
        <is>
          <t>Não</t>
        </is>
      </c>
      <c r="AC35" t="inlineStr">
        <is>
          <t>Sim</t>
        </is>
      </c>
      <c r="AD35" t="inlineStr">
        <is>
          <t>Sim</t>
        </is>
      </c>
      <c r="AE35" t="inlineStr">
        <is>
          <t>Sim</t>
        </is>
      </c>
      <c r="AF35" t="inlineStr">
        <is>
          <t>Não</t>
        </is>
      </c>
      <c r="AG35" t="inlineStr">
        <is>
          <t>Sim</t>
        </is>
      </c>
    </row>
    <row r="36">
      <c r="A36" t="inlineStr">
        <is>
          <t>P5.10</t>
        </is>
      </c>
      <c r="B36" t="inlineStr">
        <is>
          <t>5</t>
        </is>
      </c>
      <c r="C36" t="inlineStr">
        <is>
          <t>Não</t>
        </is>
      </c>
      <c r="D36" t="inlineStr">
        <is>
          <t>Não</t>
        </is>
      </c>
      <c r="E36" t="inlineStr">
        <is>
          <t>Não</t>
        </is>
      </c>
      <c r="F36" t="inlineStr">
        <is>
          <t>Sim</t>
        </is>
      </c>
      <c r="G36" t="inlineStr">
        <is>
          <t>Sim</t>
        </is>
      </c>
      <c r="H36" t="inlineStr">
        <is>
          <t>Sim</t>
        </is>
      </c>
      <c r="I36" t="inlineStr">
        <is>
          <t>Sim</t>
        </is>
      </c>
      <c r="J36" t="inlineStr">
        <is>
          <t>Sim</t>
        </is>
      </c>
      <c r="K36" t="inlineStr">
        <is>
          <t>Sim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Sim</t>
        </is>
      </c>
      <c r="Q36" t="inlineStr">
        <is>
          <t>Sim</t>
        </is>
      </c>
      <c r="R36" t="inlineStr">
        <is>
          <t>Sim</t>
        </is>
      </c>
      <c r="S36" t="inlineStr">
        <is>
          <t>Sim</t>
        </is>
      </c>
      <c r="T36" t="inlineStr">
        <is>
          <t>Sim</t>
        </is>
      </c>
      <c r="U36" t="inlineStr">
        <is>
          <t>Não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Não</t>
        </is>
      </c>
      <c r="Z36" t="inlineStr">
        <is>
          <t>Sim</t>
        </is>
      </c>
      <c r="AA36" t="inlineStr">
        <is>
          <t>Não</t>
        </is>
      </c>
      <c r="AB36" t="inlineStr">
        <is>
          <t>Sim</t>
        </is>
      </c>
      <c r="AC36" t="inlineStr">
        <is>
          <t>Não</t>
        </is>
      </c>
      <c r="AD36" t="inlineStr">
        <is>
          <t>Não</t>
        </is>
      </c>
      <c r="AE36" t="inlineStr">
        <is>
          <t>Não</t>
        </is>
      </c>
      <c r="AF36" t="inlineStr">
        <is>
          <t>Sim</t>
        </is>
      </c>
      <c r="AG36" t="inlineStr">
        <is>
          <t>Não</t>
        </is>
      </c>
    </row>
    <row r="37">
      <c r="A37" t="inlineStr">
        <is>
          <t>P5.11</t>
        </is>
      </c>
      <c r="B37" t="inlineStr">
        <is>
          <t>5</t>
        </is>
      </c>
      <c r="C37" t="inlineStr">
        <is>
          <t>Não</t>
        </is>
      </c>
      <c r="D37" t="inlineStr">
        <is>
          <t>Não</t>
        </is>
      </c>
      <c r="E37" t="inlineStr">
        <is>
          <t>Não</t>
        </is>
      </c>
      <c r="F37" t="inlineStr">
        <is>
          <t>Não</t>
        </is>
      </c>
      <c r="G37" t="inlineStr">
        <is>
          <t>Sim</t>
        </is>
      </c>
      <c r="H37" t="inlineStr">
        <is>
          <t>Sim</t>
        </is>
      </c>
      <c r="I37" t="inlineStr">
        <is>
          <t>Sim</t>
        </is>
      </c>
      <c r="J37" t="inlineStr">
        <is>
          <t>Sim</t>
        </is>
      </c>
      <c r="K37" t="inlineStr">
        <is>
          <t>Sim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Não</t>
        </is>
      </c>
      <c r="Q37" t="inlineStr">
        <is>
          <t>Sim</t>
        </is>
      </c>
      <c r="R37" t="inlineStr">
        <is>
          <t>Sim</t>
        </is>
      </c>
      <c r="S37" t="inlineStr">
        <is>
          <t>Sim</t>
        </is>
      </c>
      <c r="T37" t="inlineStr">
        <is>
          <t>Sim</t>
        </is>
      </c>
      <c r="U37" t="inlineStr">
        <is>
          <t>Não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Não</t>
        </is>
      </c>
      <c r="Z37" t="inlineStr">
        <is>
          <t>Sim</t>
        </is>
      </c>
      <c r="AA37" t="inlineStr">
        <is>
          <t>Não</t>
        </is>
      </c>
      <c r="AB37" t="inlineStr">
        <is>
          <t>Sim</t>
        </is>
      </c>
      <c r="AC37" t="inlineStr">
        <is>
          <t>Não</t>
        </is>
      </c>
      <c r="AD37" t="inlineStr">
        <is>
          <t>Não</t>
        </is>
      </c>
      <c r="AE37" t="inlineStr">
        <is>
          <t>Não</t>
        </is>
      </c>
      <c r="AF37" t="inlineStr">
        <is>
          <t>Sim</t>
        </is>
      </c>
      <c r="AG37" t="inlineStr">
        <is>
          <t>Não</t>
        </is>
      </c>
    </row>
    <row r="38">
      <c r="A38" t="inlineStr">
        <is>
          <t>P6.1</t>
        </is>
      </c>
      <c r="B38" t="inlineStr">
        <is>
          <t>6</t>
        </is>
      </c>
      <c r="C38" t="inlineStr">
        <is>
          <t>Não</t>
        </is>
      </c>
      <c r="D38" t="inlineStr">
        <is>
          <t>Não</t>
        </is>
      </c>
      <c r="E38" t="inlineStr">
        <is>
          <t>Não</t>
        </is>
      </c>
      <c r="F38" t="inlineStr">
        <is>
          <t>Sim</t>
        </is>
      </c>
      <c r="G38" t="inlineStr">
        <is>
          <t>Sim</t>
        </is>
      </c>
      <c r="H38" t="inlineStr">
        <is>
          <t>Sim</t>
        </is>
      </c>
      <c r="I38" t="inlineStr">
        <is>
          <t>Sim</t>
        </is>
      </c>
      <c r="J38" t="inlineStr">
        <is>
          <t>Sim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Sim</t>
        </is>
      </c>
      <c r="Q38" t="inlineStr">
        <is>
          <t>Sim</t>
        </is>
      </c>
      <c r="R38" t="inlineStr">
        <is>
          <t>Sim</t>
        </is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Não</t>
        </is>
      </c>
      <c r="Z38" t="inlineStr">
        <is>
          <t>Sim</t>
        </is>
      </c>
      <c r="AA38" t="inlineStr">
        <is>
          <t>Não</t>
        </is>
      </c>
      <c r="AB38" t="inlineStr">
        <is>
          <t>Sim</t>
        </is>
      </c>
      <c r="AC38" t="inlineStr">
        <is>
          <t>Não</t>
        </is>
      </c>
      <c r="AD38" t="inlineStr">
        <is>
          <t>Não</t>
        </is>
      </c>
      <c r="AE38" t="inlineStr">
        <is>
          <t>Não</t>
        </is>
      </c>
      <c r="AF38" t="inlineStr">
        <is>
          <t>Sim</t>
        </is>
      </c>
      <c r="AG38" t="inlineStr">
        <is>
          <t>Não</t>
        </is>
      </c>
    </row>
    <row r="39">
      <c r="A39" t="inlineStr">
        <is>
          <t>P6.2</t>
        </is>
      </c>
      <c r="B39" t="inlineStr">
        <is>
          <t>6</t>
        </is>
      </c>
      <c r="C39" t="inlineStr">
        <is>
          <t>Não</t>
        </is>
      </c>
      <c r="D39" t="inlineStr">
        <is>
          <t>Não</t>
        </is>
      </c>
      <c r="E39" t="inlineStr">
        <is>
          <t>Não</t>
        </is>
      </c>
      <c r="F39" t="inlineStr">
        <is>
          <t>Sim</t>
        </is>
      </c>
      <c r="G39" t="inlineStr">
        <is>
          <t>Sim</t>
        </is>
      </c>
      <c r="H39" t="inlineStr">
        <is>
          <t>Sim</t>
        </is>
      </c>
      <c r="I39" t="inlineStr">
        <is>
          <t>Sim</t>
        </is>
      </c>
      <c r="J39" t="inlineStr">
        <is>
          <t>Sim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Não</t>
        </is>
      </c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Não</t>
        </is>
      </c>
      <c r="Z39" t="inlineStr">
        <is>
          <t>Sim</t>
        </is>
      </c>
      <c r="AA39" t="inlineStr">
        <is>
          <t>Não</t>
        </is>
      </c>
      <c r="AB39" t="inlineStr">
        <is>
          <t>Sim</t>
        </is>
      </c>
      <c r="AC39" t="inlineStr">
        <is>
          <t>Não</t>
        </is>
      </c>
      <c r="AD39" t="inlineStr">
        <is>
          <t>Não</t>
        </is>
      </c>
      <c r="AE39" t="inlineStr">
        <is>
          <t>Não</t>
        </is>
      </c>
      <c r="AF39" t="inlineStr">
        <is>
          <t>Sim</t>
        </is>
      </c>
      <c r="AG39" t="inlineStr">
        <is>
          <t>Não</t>
        </is>
      </c>
    </row>
    <row r="40">
      <c r="A40" t="inlineStr">
        <is>
          <t>P6.3</t>
        </is>
      </c>
      <c r="B40" t="inlineStr">
        <is>
          <t>6</t>
        </is>
      </c>
      <c r="C40" t="inlineStr">
        <is>
          <t>Não</t>
        </is>
      </c>
      <c r="D40" t="inlineStr">
        <is>
          <t>Não</t>
        </is>
      </c>
      <c r="E40" t="inlineStr">
        <is>
          <t>Não</t>
        </is>
      </c>
      <c r="F40" t="inlineStr">
        <is>
          <t>Não</t>
        </is>
      </c>
      <c r="G40" t="inlineStr">
        <is>
          <t>Não</t>
        </is>
      </c>
      <c r="H40" t="inlineStr">
        <is>
          <t>Não</t>
        </is>
      </c>
      <c r="I40" t="inlineStr">
        <is>
          <t>Sim</t>
        </is>
      </c>
      <c r="J40" t="inlineStr">
        <is>
          <t>Sim</t>
        </is>
      </c>
      <c r="K40" t="inlineStr">
        <is>
          <t>Sim</t>
        </is>
      </c>
      <c r="L40" t="inlineStr">
        <is>
          <t>Sim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Não</t>
        </is>
      </c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Sim</t>
        </is>
      </c>
      <c r="U40" t="inlineStr">
        <is>
          <t>Não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Não</t>
        </is>
      </c>
      <c r="Z40" t="inlineStr">
        <is>
          <t>Sim</t>
        </is>
      </c>
      <c r="AA40" t="inlineStr">
        <is>
          <t>Não</t>
        </is>
      </c>
      <c r="AB40" t="inlineStr">
        <is>
          <t>Sim</t>
        </is>
      </c>
      <c r="AC40" t="inlineStr">
        <is>
          <t>Não</t>
        </is>
      </c>
      <c r="AD40" t="inlineStr">
        <is>
          <t>Não</t>
        </is>
      </c>
      <c r="AE40" t="inlineStr">
        <is>
          <t>Não</t>
        </is>
      </c>
      <c r="AF40" t="inlineStr">
        <is>
          <t>Sim</t>
        </is>
      </c>
      <c r="AG40" t="inlineStr">
        <is>
          <t>Não</t>
        </is>
      </c>
    </row>
    <row r="41">
      <c r="A41" t="inlineStr">
        <is>
          <t>P6.4</t>
        </is>
      </c>
      <c r="B41" t="inlineStr">
        <is>
          <t>6</t>
        </is>
      </c>
      <c r="C41" t="inlineStr">
        <is>
          <t>Sim</t>
        </is>
      </c>
      <c r="D41" t="inlineStr">
        <is>
          <t>Sim</t>
        </is>
      </c>
      <c r="E41" t="inlineStr">
        <is>
          <t>Sim</t>
        </is>
      </c>
      <c r="F41" t="inlineStr">
        <is>
          <t>Sim</t>
        </is>
      </c>
      <c r="G41" t="inlineStr">
        <is>
          <t>Sim</t>
        </is>
      </c>
      <c r="H41" t="inlineStr">
        <is>
          <t>Sim</t>
        </is>
      </c>
      <c r="I41" t="inlineStr">
        <is>
          <t>Não</t>
        </is>
      </c>
      <c r="J41" t="inlineStr">
        <is>
          <t>Não</t>
        </is>
      </c>
      <c r="K41" t="inlineStr">
        <is>
          <t>Não</t>
        </is>
      </c>
      <c r="L41" t="inlineStr">
        <is>
          <t>Não</t>
        </is>
      </c>
      <c r="M41" t="inlineStr">
        <is>
          <t>Sim</t>
        </is>
      </c>
      <c r="N41" t="inlineStr">
        <is>
          <t>Sim</t>
        </is>
      </c>
      <c r="O41" t="inlineStr">
        <is>
          <t>Sim</t>
        </is>
      </c>
      <c r="P41" t="inlineStr">
        <is>
          <t>Sim</t>
        </is>
      </c>
      <c r="Q41" t="inlineStr">
        <is>
          <t>Sim</t>
        </is>
      </c>
      <c r="R41" t="inlineStr">
        <is>
          <t>Não</t>
        </is>
      </c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Sim</t>
        </is>
      </c>
      <c r="W41" t="inlineStr">
        <is>
          <t>Sim</t>
        </is>
      </c>
      <c r="X41" t="inlineStr">
        <is>
          <t>Sim</t>
        </is>
      </c>
      <c r="Y41" t="inlineStr">
        <is>
          <t>Sim</t>
        </is>
      </c>
      <c r="Z41" t="inlineStr">
        <is>
          <t>Não</t>
        </is>
      </c>
      <c r="AA41" t="inlineStr">
        <is>
          <t>Sim</t>
        </is>
      </c>
      <c r="AB41" t="inlineStr">
        <is>
          <t>Não</t>
        </is>
      </c>
      <c r="AC41" t="inlineStr">
        <is>
          <t>Sim</t>
        </is>
      </c>
      <c r="AD41" t="inlineStr">
        <is>
          <t>Sim</t>
        </is>
      </c>
      <c r="AE41" t="inlineStr">
        <is>
          <t>Sim</t>
        </is>
      </c>
      <c r="AF41" t="inlineStr">
        <is>
          <t>Não</t>
        </is>
      </c>
      <c r="AG41" t="inlineStr">
        <is>
          <t>Sim</t>
        </is>
      </c>
    </row>
    <row r="42">
      <c r="A42" t="inlineStr">
        <is>
          <t>P6.5</t>
        </is>
      </c>
      <c r="B42" t="inlineStr">
        <is>
          <t>6</t>
        </is>
      </c>
      <c r="C42" t="inlineStr">
        <is>
          <t>Sim</t>
        </is>
      </c>
      <c r="D42" t="inlineStr">
        <is>
          <t>Sim</t>
        </is>
      </c>
      <c r="E42" t="inlineStr">
        <is>
          <t>Sim</t>
        </is>
      </c>
      <c r="F42" t="inlineStr">
        <is>
          <t>Sim</t>
        </is>
      </c>
      <c r="G42" t="inlineStr">
        <is>
          <t>Sim</t>
        </is>
      </c>
      <c r="H42" t="inlineStr">
        <is>
          <t>Sim</t>
        </is>
      </c>
      <c r="I42" t="inlineStr">
        <is>
          <t>Não</t>
        </is>
      </c>
      <c r="J42" t="inlineStr">
        <is>
          <t>Não</t>
        </is>
      </c>
      <c r="K42" t="inlineStr">
        <is>
          <t>Não</t>
        </is>
      </c>
      <c r="L42" t="inlineStr">
        <is>
          <t>Não</t>
        </is>
      </c>
      <c r="M42" t="inlineStr">
        <is>
          <t>Sim</t>
        </is>
      </c>
      <c r="N42" t="inlineStr">
        <is>
          <t>Sim</t>
        </is>
      </c>
      <c r="O42" t="inlineStr">
        <is>
          <t>Sim</t>
        </is>
      </c>
      <c r="P42" t="inlineStr">
        <is>
          <t>Sim</t>
        </is>
      </c>
      <c r="Q42" t="inlineStr">
        <is>
          <t>Sim</t>
        </is>
      </c>
      <c r="R42" t="inlineStr">
        <is>
          <t>Não</t>
        </is>
      </c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Sim</t>
        </is>
      </c>
      <c r="W42" t="inlineStr">
        <is>
          <t>Sim</t>
        </is>
      </c>
      <c r="X42" t="inlineStr">
        <is>
          <t>Sim</t>
        </is>
      </c>
      <c r="Y42" t="inlineStr">
        <is>
          <t>Sim</t>
        </is>
      </c>
      <c r="Z42" t="inlineStr">
        <is>
          <t>Não</t>
        </is>
      </c>
      <c r="AA42" t="inlineStr">
        <is>
          <t>Sim</t>
        </is>
      </c>
      <c r="AB42" t="inlineStr">
        <is>
          <t>Não</t>
        </is>
      </c>
      <c r="AC42" t="inlineStr">
        <is>
          <t>Sim</t>
        </is>
      </c>
      <c r="AD42" t="inlineStr">
        <is>
          <t>Sim</t>
        </is>
      </c>
      <c r="AE42" t="inlineStr">
        <is>
          <t>Sim</t>
        </is>
      </c>
      <c r="AF42" t="inlineStr">
        <is>
          <t>Não</t>
        </is>
      </c>
      <c r="AG42" t="inlineStr">
        <is>
          <t>Sim</t>
        </is>
      </c>
    </row>
    <row r="43">
      <c r="A43" t="inlineStr">
        <is>
          <t>P6.6</t>
        </is>
      </c>
      <c r="B43" t="inlineStr">
        <is>
          <t>6</t>
        </is>
      </c>
      <c r="C43" t="inlineStr">
        <is>
          <t>Sim</t>
        </is>
      </c>
      <c r="D43" t="inlineStr">
        <is>
          <t>Sim</t>
        </is>
      </c>
      <c r="E43" t="inlineStr">
        <is>
          <t>Sim</t>
        </is>
      </c>
      <c r="F43" t="inlineStr">
        <is>
          <t>Sim</t>
        </is>
      </c>
      <c r="G43" t="inlineStr">
        <is>
          <t>Sim</t>
        </is>
      </c>
      <c r="H43" t="inlineStr">
        <is>
          <t>Sim</t>
        </is>
      </c>
      <c r="I43" t="inlineStr">
        <is>
          <t>Não</t>
        </is>
      </c>
      <c r="J43" t="inlineStr">
        <is>
          <t>Não</t>
        </is>
      </c>
      <c r="K43" t="inlineStr">
        <is>
          <t>Não</t>
        </is>
      </c>
      <c r="L43" t="inlineStr">
        <is>
          <t>Não</t>
        </is>
      </c>
      <c r="M43" t="inlineStr">
        <is>
          <t>Sim</t>
        </is>
      </c>
      <c r="N43" t="inlineStr">
        <is>
          <t>Sim</t>
        </is>
      </c>
      <c r="O43" t="inlineStr">
        <is>
          <t>Sim</t>
        </is>
      </c>
      <c r="P43" t="inlineStr">
        <is>
          <t>Sim</t>
        </is>
      </c>
      <c r="Q43" t="inlineStr">
        <is>
          <t>Sim</t>
        </is>
      </c>
      <c r="R43" t="inlineStr">
        <is>
          <t>Não</t>
        </is>
      </c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Sim</t>
        </is>
      </c>
      <c r="W43" t="inlineStr">
        <is>
          <t>Sim</t>
        </is>
      </c>
      <c r="X43" t="inlineStr">
        <is>
          <t>Sim</t>
        </is>
      </c>
      <c r="Y43" t="inlineStr">
        <is>
          <t>Sim</t>
        </is>
      </c>
      <c r="Z43" t="inlineStr">
        <is>
          <t>Não</t>
        </is>
      </c>
      <c r="AA43" t="inlineStr">
        <is>
          <t>Sim</t>
        </is>
      </c>
      <c r="AB43" t="inlineStr">
        <is>
          <t>Não</t>
        </is>
      </c>
      <c r="AC43" t="inlineStr">
        <is>
          <t>Sim</t>
        </is>
      </c>
      <c r="AD43" t="inlineStr">
        <is>
          <t>Sim</t>
        </is>
      </c>
      <c r="AE43" t="inlineStr">
        <is>
          <t>Sim</t>
        </is>
      </c>
      <c r="AF43" t="inlineStr">
        <is>
          <t>Não</t>
        </is>
      </c>
      <c r="AG43" t="inlineStr">
        <is>
          <t>Sim</t>
        </is>
      </c>
    </row>
    <row r="44">
      <c r="A44" t="inlineStr">
        <is>
          <t>P6.7</t>
        </is>
      </c>
      <c r="B44" t="inlineStr">
        <is>
          <t>6</t>
        </is>
      </c>
      <c r="C44" t="inlineStr">
        <is>
          <t>Sim</t>
        </is>
      </c>
      <c r="D44" t="inlineStr">
        <is>
          <t>Sim</t>
        </is>
      </c>
      <c r="E44" t="inlineStr">
        <is>
          <t>Sim</t>
        </is>
      </c>
      <c r="F44" t="inlineStr">
        <is>
          <t>Sim</t>
        </is>
      </c>
      <c r="G44" t="inlineStr">
        <is>
          <t>Sim</t>
        </is>
      </c>
      <c r="H44" t="inlineStr">
        <is>
          <t>Sim</t>
        </is>
      </c>
      <c r="I44" t="inlineStr">
        <is>
          <t>Não</t>
        </is>
      </c>
      <c r="J44" t="inlineStr">
        <is>
          <t>Não</t>
        </is>
      </c>
      <c r="K44" t="inlineStr">
        <is>
          <t>Não</t>
        </is>
      </c>
      <c r="L44" t="inlineStr">
        <is>
          <t>Não</t>
        </is>
      </c>
      <c r="M44" t="inlineStr">
        <is>
          <t>Sim</t>
        </is>
      </c>
      <c r="N44" t="inlineStr">
        <is>
          <t>Sim</t>
        </is>
      </c>
      <c r="O44" t="inlineStr">
        <is>
          <t>Sim</t>
        </is>
      </c>
      <c r="P44" t="inlineStr">
        <is>
          <t>Sim</t>
        </is>
      </c>
      <c r="Q44" t="inlineStr">
        <is>
          <t>Sim</t>
        </is>
      </c>
      <c r="R44" t="inlineStr">
        <is>
          <t>Não</t>
        </is>
      </c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Sim</t>
        </is>
      </c>
      <c r="W44" t="inlineStr">
        <is>
          <t>Sim</t>
        </is>
      </c>
      <c r="X44" t="inlineStr">
        <is>
          <t>Sim</t>
        </is>
      </c>
      <c r="Y44" t="inlineStr">
        <is>
          <t>Sim</t>
        </is>
      </c>
      <c r="Z44" t="inlineStr">
        <is>
          <t>Não</t>
        </is>
      </c>
      <c r="AA44" t="inlineStr">
        <is>
          <t>Sim</t>
        </is>
      </c>
      <c r="AB44" t="inlineStr">
        <is>
          <t>Não</t>
        </is>
      </c>
      <c r="AC44" t="inlineStr">
        <is>
          <t>Sim</t>
        </is>
      </c>
      <c r="AD44" t="inlineStr">
        <is>
          <t>Sim</t>
        </is>
      </c>
      <c r="AE44" t="inlineStr">
        <is>
          <t>Sim</t>
        </is>
      </c>
      <c r="AF44" t="inlineStr">
        <is>
          <t>Não</t>
        </is>
      </c>
      <c r="AG44" t="inlineStr">
        <is>
          <t>Sim</t>
        </is>
      </c>
    </row>
    <row r="45">
      <c r="A45" t="inlineStr">
        <is>
          <t>P6.8</t>
        </is>
      </c>
      <c r="B45" t="inlineStr">
        <is>
          <t>6</t>
        </is>
      </c>
      <c r="C45" t="inlineStr">
        <is>
          <t>Sim</t>
        </is>
      </c>
      <c r="D45" t="inlineStr">
        <is>
          <t>Sim</t>
        </is>
      </c>
      <c r="E45" t="inlineStr">
        <is>
          <t>Sim</t>
        </is>
      </c>
      <c r="F45" t="inlineStr">
        <is>
          <t>Sim</t>
        </is>
      </c>
      <c r="G45" t="inlineStr">
        <is>
          <t>Sim</t>
        </is>
      </c>
      <c r="H45" t="inlineStr">
        <is>
          <t>Sim</t>
        </is>
      </c>
      <c r="I45" t="inlineStr">
        <is>
          <t>Não</t>
        </is>
      </c>
      <c r="J45" t="inlineStr">
        <is>
          <t>Não</t>
        </is>
      </c>
      <c r="K45" t="inlineStr">
        <is>
          <t>Não</t>
        </is>
      </c>
      <c r="L45" t="inlineStr">
        <is>
          <t>Não</t>
        </is>
      </c>
      <c r="M45" t="inlineStr">
        <is>
          <t>Sim</t>
        </is>
      </c>
      <c r="N45" t="inlineStr">
        <is>
          <t>Sim</t>
        </is>
      </c>
      <c r="O45" t="inlineStr">
        <is>
          <t>Sim</t>
        </is>
      </c>
      <c r="P45" t="inlineStr">
        <is>
          <t>Sim</t>
        </is>
      </c>
      <c r="Q45" t="inlineStr">
        <is>
          <t>Sim</t>
        </is>
      </c>
      <c r="R45" t="inlineStr">
        <is>
          <t>Não</t>
        </is>
      </c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Sim</t>
        </is>
      </c>
      <c r="W45" t="inlineStr">
        <is>
          <t>Sim</t>
        </is>
      </c>
      <c r="X45" t="inlineStr">
        <is>
          <t>Sim</t>
        </is>
      </c>
      <c r="Y45" t="inlineStr">
        <is>
          <t>Sim</t>
        </is>
      </c>
      <c r="Z45" t="inlineStr">
        <is>
          <t>Não</t>
        </is>
      </c>
      <c r="AA45" t="inlineStr">
        <is>
          <t>Sim</t>
        </is>
      </c>
      <c r="AB45" t="inlineStr">
        <is>
          <t>Não</t>
        </is>
      </c>
      <c r="AC45" t="inlineStr">
        <is>
          <t>Sim</t>
        </is>
      </c>
      <c r="AD45" t="inlineStr">
        <is>
          <t>Sim</t>
        </is>
      </c>
      <c r="AE45" t="inlineStr">
        <is>
          <t>Sim</t>
        </is>
      </c>
      <c r="AF45" t="inlineStr">
        <is>
          <t>Não</t>
        </is>
      </c>
      <c r="AG45" t="inlineStr">
        <is>
          <t>Sim</t>
        </is>
      </c>
    </row>
    <row r="46">
      <c r="A46" t="inlineStr">
        <is>
          <t>P6.9</t>
        </is>
      </c>
      <c r="B46" t="inlineStr">
        <is>
          <t>6</t>
        </is>
      </c>
      <c r="C46" t="inlineStr">
        <is>
          <t>Sim</t>
        </is>
      </c>
      <c r="D46" t="inlineStr">
        <is>
          <t>Sim</t>
        </is>
      </c>
      <c r="E46" t="inlineStr">
        <is>
          <t>Sim</t>
        </is>
      </c>
      <c r="F46" t="inlineStr">
        <is>
          <t>Sim</t>
        </is>
      </c>
      <c r="G46" t="inlineStr">
        <is>
          <t>Sim</t>
        </is>
      </c>
      <c r="H46" t="inlineStr">
        <is>
          <t>Sim</t>
        </is>
      </c>
      <c r="I46" t="inlineStr">
        <is>
          <t>Não</t>
        </is>
      </c>
      <c r="J46" t="inlineStr">
        <is>
          <t>Não</t>
        </is>
      </c>
      <c r="K46" t="inlineStr">
        <is>
          <t>Não</t>
        </is>
      </c>
      <c r="L46" t="inlineStr">
        <is>
          <t>Não</t>
        </is>
      </c>
      <c r="M46" t="inlineStr">
        <is>
          <t>Sim</t>
        </is>
      </c>
      <c r="N46" t="inlineStr">
        <is>
          <t>Sim</t>
        </is>
      </c>
      <c r="O46" t="inlineStr">
        <is>
          <t>Sim</t>
        </is>
      </c>
      <c r="P46" t="inlineStr">
        <is>
          <t>Sim</t>
        </is>
      </c>
      <c r="Q46" t="inlineStr">
        <is>
          <t>Sim</t>
        </is>
      </c>
      <c r="R46" t="inlineStr">
        <is>
          <t>Não</t>
        </is>
      </c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Sim</t>
        </is>
      </c>
      <c r="W46" t="inlineStr">
        <is>
          <t>Sim</t>
        </is>
      </c>
      <c r="X46" t="inlineStr">
        <is>
          <t>Sim</t>
        </is>
      </c>
      <c r="Y46" t="inlineStr">
        <is>
          <t>Sim</t>
        </is>
      </c>
      <c r="Z46" t="inlineStr">
        <is>
          <t>Não</t>
        </is>
      </c>
      <c r="AA46" t="inlineStr">
        <is>
          <t>Sim</t>
        </is>
      </c>
      <c r="AB46" t="inlineStr">
        <is>
          <t>Não</t>
        </is>
      </c>
      <c r="AC46" t="inlineStr">
        <is>
          <t>Sim</t>
        </is>
      </c>
      <c r="AD46" t="inlineStr">
        <is>
          <t>Sim</t>
        </is>
      </c>
      <c r="AE46" t="inlineStr">
        <is>
          <t>Sim</t>
        </is>
      </c>
      <c r="AF46" t="inlineStr">
        <is>
          <t>Não</t>
        </is>
      </c>
      <c r="AG46" t="inlineStr">
        <is>
          <t>Sim</t>
        </is>
      </c>
    </row>
    <row r="47">
      <c r="A47" t="inlineStr">
        <is>
          <t>P6.10</t>
        </is>
      </c>
      <c r="B47" t="inlineStr">
        <is>
          <t>6</t>
        </is>
      </c>
      <c r="C47" t="inlineStr">
        <is>
          <t>Sim</t>
        </is>
      </c>
      <c r="D47" t="inlineStr">
        <is>
          <t>Sim</t>
        </is>
      </c>
      <c r="E47" t="inlineStr">
        <is>
          <t>Sim</t>
        </is>
      </c>
      <c r="F47" t="inlineStr">
        <is>
          <t>Sim</t>
        </is>
      </c>
      <c r="G47" t="inlineStr">
        <is>
          <t>Sim</t>
        </is>
      </c>
      <c r="H47" t="inlineStr">
        <is>
          <t>Sim</t>
        </is>
      </c>
      <c r="I47" t="inlineStr">
        <is>
          <t>Não</t>
        </is>
      </c>
      <c r="J47" t="inlineStr">
        <is>
          <t>Não</t>
        </is>
      </c>
      <c r="K47" t="inlineStr">
        <is>
          <t>Não</t>
        </is>
      </c>
      <c r="L47" t="inlineStr">
        <is>
          <t>Não</t>
        </is>
      </c>
      <c r="M47" t="inlineStr">
        <is>
          <t>Sim</t>
        </is>
      </c>
      <c r="N47" t="inlineStr">
        <is>
          <t>Sim</t>
        </is>
      </c>
      <c r="O47" t="inlineStr">
        <is>
          <t>Sim</t>
        </is>
      </c>
      <c r="P47" t="inlineStr">
        <is>
          <t>Sim</t>
        </is>
      </c>
      <c r="Q47" t="inlineStr">
        <is>
          <t>Sim</t>
        </is>
      </c>
      <c r="R47" t="inlineStr">
        <is>
          <t>Não</t>
        </is>
      </c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Sim</t>
        </is>
      </c>
      <c r="W47" t="inlineStr">
        <is>
          <t>Sim</t>
        </is>
      </c>
      <c r="X47" t="inlineStr">
        <is>
          <t>Sim</t>
        </is>
      </c>
      <c r="Y47" t="inlineStr">
        <is>
          <t>Sim</t>
        </is>
      </c>
      <c r="Z47" t="inlineStr">
        <is>
          <t>Não</t>
        </is>
      </c>
      <c r="AA47" t="inlineStr">
        <is>
          <t>Sim</t>
        </is>
      </c>
      <c r="AB47" t="inlineStr">
        <is>
          <t>Não</t>
        </is>
      </c>
      <c r="AC47" t="inlineStr">
        <is>
          <t>Sim</t>
        </is>
      </c>
      <c r="AD47" t="inlineStr">
        <is>
          <t>Sim</t>
        </is>
      </c>
      <c r="AE47" t="inlineStr">
        <is>
          <t>Sim</t>
        </is>
      </c>
      <c r="AF47" t="inlineStr">
        <is>
          <t>Não</t>
        </is>
      </c>
      <c r="AG47" t="inlineStr">
        <is>
          <t>Sim</t>
        </is>
      </c>
    </row>
    <row r="48">
      <c r="A48" t="inlineStr">
        <is>
          <t>P6.11</t>
        </is>
      </c>
      <c r="B48" t="inlineStr">
        <is>
          <t>6</t>
        </is>
      </c>
      <c r="C48" t="inlineStr">
        <is>
          <t>Sim</t>
        </is>
      </c>
      <c r="D48" t="inlineStr">
        <is>
          <t>Sim</t>
        </is>
      </c>
      <c r="E48" t="inlineStr">
        <is>
          <t>Sim</t>
        </is>
      </c>
      <c r="F48" t="inlineStr">
        <is>
          <t>Sim</t>
        </is>
      </c>
      <c r="G48" t="inlineStr">
        <is>
          <t>Sim</t>
        </is>
      </c>
      <c r="H48" t="inlineStr">
        <is>
          <t>Sim</t>
        </is>
      </c>
      <c r="I48" t="inlineStr">
        <is>
          <t>Não</t>
        </is>
      </c>
      <c r="J48" t="inlineStr">
        <is>
          <t>Não</t>
        </is>
      </c>
      <c r="K48" t="inlineStr">
        <is>
          <t>Não</t>
        </is>
      </c>
      <c r="L48" t="inlineStr">
        <is>
          <t>Não</t>
        </is>
      </c>
      <c r="M48" t="inlineStr">
        <is>
          <t>Sim</t>
        </is>
      </c>
      <c r="N48" t="inlineStr">
        <is>
          <t>Sim</t>
        </is>
      </c>
      <c r="O48" t="inlineStr">
        <is>
          <t>Sim</t>
        </is>
      </c>
      <c r="P48" t="inlineStr">
        <is>
          <t>Sim</t>
        </is>
      </c>
      <c r="Q48" t="inlineStr">
        <is>
          <t>Sim</t>
        </is>
      </c>
      <c r="R48" t="inlineStr">
        <is>
          <t>Não</t>
        </is>
      </c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Sim</t>
        </is>
      </c>
      <c r="W48" t="inlineStr">
        <is>
          <t>Sim</t>
        </is>
      </c>
      <c r="X48" t="inlineStr">
        <is>
          <t>Sim</t>
        </is>
      </c>
      <c r="Y48" t="inlineStr">
        <is>
          <t>Sim</t>
        </is>
      </c>
      <c r="Z48" t="inlineStr">
        <is>
          <t>Não</t>
        </is>
      </c>
      <c r="AA48" t="inlineStr">
        <is>
          <t>Sim</t>
        </is>
      </c>
      <c r="AB48" t="inlineStr">
        <is>
          <t>Não</t>
        </is>
      </c>
      <c r="AC48" t="inlineStr">
        <is>
          <t>Sim</t>
        </is>
      </c>
      <c r="AD48" t="inlineStr">
        <is>
          <t>Sim</t>
        </is>
      </c>
      <c r="AE48" t="inlineStr">
        <is>
          <t>Sim</t>
        </is>
      </c>
      <c r="AF48" t="inlineStr">
        <is>
          <t>Não</t>
        </is>
      </c>
      <c r="AG48" t="inlineStr">
        <is>
          <t>Sim</t>
        </is>
      </c>
    </row>
    <row r="49">
      <c r="A49" t="inlineStr">
        <is>
          <t>P6.12</t>
        </is>
      </c>
      <c r="B49" t="inlineStr">
        <is>
          <t>6</t>
        </is>
      </c>
      <c r="C49" t="inlineStr">
        <is>
          <t>Não</t>
        </is>
      </c>
      <c r="D49" t="inlineStr">
        <is>
          <t>Não</t>
        </is>
      </c>
      <c r="E49" t="inlineStr">
        <is>
          <t>Não</t>
        </is>
      </c>
      <c r="F49" t="inlineStr">
        <is>
          <t>Não</t>
        </is>
      </c>
      <c r="G49" t="inlineStr">
        <is>
          <t>Não</t>
        </is>
      </c>
      <c r="H49" t="inlineStr">
        <is>
          <t>Não</t>
        </is>
      </c>
      <c r="I49" t="inlineStr">
        <is>
          <t>Sim</t>
        </is>
      </c>
      <c r="J49" t="inlineStr">
        <is>
          <t>Sim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inlineStr">
        <is>
          <t>Não</t>
        </is>
      </c>
      <c r="P49" t="inlineStr">
        <is>
          <t>Não</t>
        </is>
      </c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Sim</t>
        </is>
      </c>
      <c r="U49" t="inlineStr">
        <is>
          <t>Não</t>
        </is>
      </c>
      <c r="V49" t="inlineStr">
        <is>
          <t>Não</t>
        </is>
      </c>
      <c r="W49" t="inlineStr">
        <is>
          <t>N/A</t>
        </is>
      </c>
      <c r="X49" t="inlineStr">
        <is>
          <t>Não</t>
        </is>
      </c>
      <c r="Y49" t="inlineStr">
        <is>
          <t>Não</t>
        </is>
      </c>
      <c r="Z49" t="inlineStr">
        <is>
          <t>Sim</t>
        </is>
      </c>
      <c r="AA49" t="inlineStr">
        <is>
          <t>Não</t>
        </is>
      </c>
      <c r="AB49" t="inlineStr">
        <is>
          <t>Sim</t>
        </is>
      </c>
      <c r="AC49" t="inlineStr">
        <is>
          <t>Não</t>
        </is>
      </c>
      <c r="AD49" t="inlineStr">
        <is>
          <t>Não</t>
        </is>
      </c>
      <c r="AE49" t="inlineStr">
        <is>
          <t>Não</t>
        </is>
      </c>
      <c r="AF49" t="inlineStr">
        <is>
          <t>Sim</t>
        </is>
      </c>
      <c r="AG49" t="inlineStr">
        <is>
          <t>Não</t>
        </is>
      </c>
    </row>
    <row r="50">
      <c r="A50" t="inlineStr">
        <is>
          <t>P6.13</t>
        </is>
      </c>
      <c r="B50" t="inlineStr">
        <is>
          <t>6</t>
        </is>
      </c>
      <c r="C50" t="inlineStr">
        <is>
          <t>Sim</t>
        </is>
      </c>
      <c r="D50" t="inlineStr">
        <is>
          <t>Sim</t>
        </is>
      </c>
      <c r="E50" t="inlineStr">
        <is>
          <t>Sim</t>
        </is>
      </c>
      <c r="F50" t="inlineStr">
        <is>
          <t>Sim</t>
        </is>
      </c>
      <c r="G50" t="inlineStr">
        <is>
          <t>Sim</t>
        </is>
      </c>
      <c r="H50" t="inlineStr">
        <is>
          <t>Sim</t>
        </is>
      </c>
      <c r="I50" t="inlineStr">
        <is>
          <t>Não</t>
        </is>
      </c>
      <c r="J50" t="inlineStr">
        <is>
          <t>Não</t>
        </is>
      </c>
      <c r="K50" t="inlineStr">
        <is>
          <t>Não</t>
        </is>
      </c>
      <c r="L50" t="inlineStr">
        <is>
          <t>Não</t>
        </is>
      </c>
      <c r="M50" t="inlineStr">
        <is>
          <t>Sim</t>
        </is>
      </c>
      <c r="N50" t="inlineStr">
        <is>
          <t>Sim</t>
        </is>
      </c>
      <c r="O50" t="inlineStr">
        <is>
          <t>Sim</t>
        </is>
      </c>
      <c r="P50" t="inlineStr">
        <is>
          <t>Sim</t>
        </is>
      </c>
      <c r="Q50" t="inlineStr">
        <is>
          <t>Sim</t>
        </is>
      </c>
      <c r="R50" t="inlineStr">
        <is>
          <t>Não</t>
        </is>
      </c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Sim</t>
        </is>
      </c>
      <c r="W50" t="inlineStr">
        <is>
          <t>N/A</t>
        </is>
      </c>
      <c r="X50" t="inlineStr">
        <is>
          <t>Sim</t>
        </is>
      </c>
      <c r="Y50" t="inlineStr">
        <is>
          <t>Sim</t>
        </is>
      </c>
      <c r="Z50" t="inlineStr">
        <is>
          <t>Não</t>
        </is>
      </c>
      <c r="AA50" t="inlineStr">
        <is>
          <t>Sim</t>
        </is>
      </c>
      <c r="AB50" t="inlineStr">
        <is>
          <t>Não</t>
        </is>
      </c>
      <c r="AC50" t="inlineStr">
        <is>
          <t>Sim</t>
        </is>
      </c>
      <c r="AD50" t="inlineStr">
        <is>
          <t>Sim</t>
        </is>
      </c>
      <c r="AE50" t="inlineStr">
        <is>
          <t>Sim</t>
        </is>
      </c>
      <c r="AF50" t="inlineStr">
        <is>
          <t>Não</t>
        </is>
      </c>
      <c r="AG50" t="inlineStr">
        <is>
          <t>Sim</t>
        </is>
      </c>
    </row>
    <row r="51">
      <c r="A51" t="inlineStr">
        <is>
          <t>P6.b.1</t>
        </is>
      </c>
      <c r="B51" t="inlineStr">
        <is>
          <t>6.b</t>
        </is>
      </c>
      <c r="C51" t="inlineStr">
        <is>
          <t>Sim</t>
        </is>
      </c>
      <c r="D51" t="inlineStr">
        <is>
          <t>Sim</t>
        </is>
      </c>
      <c r="E51" t="inlineStr">
        <is>
          <t>Sim</t>
        </is>
      </c>
      <c r="F51" t="inlineStr">
        <is>
          <t>Sim</t>
        </is>
      </c>
      <c r="G51" t="inlineStr">
        <is>
          <t>Sim</t>
        </is>
      </c>
      <c r="H51" t="inlineStr">
        <is>
          <t>Sim</t>
        </is>
      </c>
      <c r="I51" t="inlineStr">
        <is>
          <t>Sim</t>
        </is>
      </c>
      <c r="J51" t="inlineStr">
        <is>
          <t>Sim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Não</t>
        </is>
      </c>
      <c r="O51" t="inlineStr">
        <is>
          <t>Não</t>
        </is>
      </c>
      <c r="P51" t="inlineStr">
        <is>
          <t>Não</t>
        </is>
      </c>
      <c r="Q51" t="inlineStr">
        <is>
          <t>Não</t>
        </is>
      </c>
      <c r="R51" t="inlineStr">
        <is>
          <t>Não</t>
        </is>
      </c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Sim</t>
        </is>
      </c>
      <c r="W51" t="inlineStr">
        <is>
          <t>Sim</t>
        </is>
      </c>
      <c r="X51" t="inlineStr">
        <is>
          <t>Sim</t>
        </is>
      </c>
      <c r="Y51" t="inlineStr">
        <is>
          <t>Sim</t>
        </is>
      </c>
      <c r="Z51" t="inlineStr">
        <is>
          <t>Sim</t>
        </is>
      </c>
      <c r="AA51" t="inlineStr">
        <is>
          <t>Sim</t>
        </is>
      </c>
      <c r="AB51" t="inlineStr">
        <is>
          <t>Não</t>
        </is>
      </c>
      <c r="AC51" t="inlineStr">
        <is>
          <t>Sim</t>
        </is>
      </c>
      <c r="AD51" t="inlineStr">
        <is>
          <t>Sim</t>
        </is>
      </c>
      <c r="AE51" t="inlineStr">
        <is>
          <t>Sim</t>
        </is>
      </c>
      <c r="AF51" t="inlineStr">
        <is>
          <t>Não</t>
        </is>
      </c>
      <c r="AG51" t="inlineStr">
        <is>
          <t>Não</t>
        </is>
      </c>
    </row>
    <row r="52">
      <c r="A52" t="inlineStr">
        <is>
          <t>P6.b.2</t>
        </is>
      </c>
      <c r="B52" t="inlineStr">
        <is>
          <t>6.b</t>
        </is>
      </c>
      <c r="C52" t="inlineStr">
        <is>
          <t>Sim</t>
        </is>
      </c>
      <c r="D52" t="inlineStr">
        <is>
          <t>Sim</t>
        </is>
      </c>
      <c r="E52" t="inlineStr">
        <is>
          <t>Sim</t>
        </is>
      </c>
      <c r="F52" t="inlineStr">
        <is>
          <t>Sim</t>
        </is>
      </c>
      <c r="G52" t="inlineStr">
        <is>
          <t>Sim</t>
        </is>
      </c>
      <c r="H52" t="inlineStr">
        <is>
          <t>Sim</t>
        </is>
      </c>
      <c r="I52" t="inlineStr">
        <is>
          <t>Sim</t>
        </is>
      </c>
      <c r="J52" t="inlineStr">
        <is>
          <t>Sim</t>
        </is>
      </c>
      <c r="K52" t="inlineStr">
        <is>
          <t>Sim</t>
        </is>
      </c>
      <c r="L52" t="inlineStr">
        <is>
          <t>Sim</t>
        </is>
      </c>
      <c r="M52" t="inlineStr">
        <is>
          <t>Sim</t>
        </is>
      </c>
      <c r="N52" t="inlineStr">
        <is>
          <t>Sim</t>
        </is>
      </c>
      <c r="O52" t="inlineStr">
        <is>
          <t>Sim</t>
        </is>
      </c>
      <c r="P52" t="inlineStr">
        <is>
          <t>Sim</t>
        </is>
      </c>
      <c r="Q52" t="inlineStr">
        <is>
          <t>Sim</t>
        </is>
      </c>
      <c r="R52" t="inlineStr">
        <is>
          <t>Sim</t>
        </is>
      </c>
      <c r="S52" t="inlineStr">
        <is>
          <t>Sim</t>
        </is>
      </c>
      <c r="T52" t="inlineStr">
        <is>
          <t>Sim</t>
        </is>
      </c>
      <c r="U52" t="inlineStr">
        <is>
          <t>Não</t>
        </is>
      </c>
      <c r="V52" t="inlineStr">
        <is>
          <t>Sim</t>
        </is>
      </c>
      <c r="W52" t="inlineStr">
        <is>
          <t>Sim</t>
        </is>
      </c>
      <c r="X52" t="inlineStr">
        <is>
          <t>Sim</t>
        </is>
      </c>
      <c r="Y52" t="inlineStr">
        <is>
          <t>Sim</t>
        </is>
      </c>
      <c r="Z52" t="inlineStr">
        <is>
          <t>Sim</t>
        </is>
      </c>
      <c r="AA52" t="inlineStr">
        <is>
          <t>Sim</t>
        </is>
      </c>
      <c r="AB52" t="inlineStr">
        <is>
          <t>Não</t>
        </is>
      </c>
      <c r="AC52" t="inlineStr">
        <is>
          <t>Sim</t>
        </is>
      </c>
      <c r="AD52" t="inlineStr">
        <is>
          <t>Sim</t>
        </is>
      </c>
      <c r="AE52" t="inlineStr">
        <is>
          <t>Sim</t>
        </is>
      </c>
      <c r="AF52" t="inlineStr">
        <is>
          <t>Sim</t>
        </is>
      </c>
      <c r="AG52" t="inlineStr">
        <is>
          <t>Sim</t>
        </is>
      </c>
    </row>
    <row r="53">
      <c r="A53" t="inlineStr">
        <is>
          <t>P6.b.3</t>
        </is>
      </c>
      <c r="B53" t="inlineStr">
        <is>
          <t>6.b</t>
        </is>
      </c>
      <c r="C53" t="inlineStr">
        <is>
          <t>Sim</t>
        </is>
      </c>
      <c r="D53" t="inlineStr">
        <is>
          <t>Sim</t>
        </is>
      </c>
      <c r="E53" t="inlineStr">
        <is>
          <t>Sim</t>
        </is>
      </c>
      <c r="F53" t="inlineStr">
        <is>
          <t>Sim</t>
        </is>
      </c>
      <c r="G53" t="inlineStr">
        <is>
          <t>Sim</t>
        </is>
      </c>
      <c r="H53" t="inlineStr">
        <is>
          <t>Sim</t>
        </is>
      </c>
      <c r="I53" t="inlineStr">
        <is>
          <t>Sim</t>
        </is>
      </c>
      <c r="J53" t="inlineStr">
        <is>
          <t>Sim</t>
        </is>
      </c>
      <c r="K53" t="inlineStr">
        <is>
          <t>Sim</t>
        </is>
      </c>
      <c r="L53" t="inlineStr">
        <is>
          <t>Sim</t>
        </is>
      </c>
      <c r="M53" t="inlineStr">
        <is>
          <t>Sim</t>
        </is>
      </c>
      <c r="N53" t="inlineStr">
        <is>
          <t>Não</t>
        </is>
      </c>
      <c r="O53" t="inlineStr">
        <is>
          <t>Não</t>
        </is>
      </c>
      <c r="P53" t="inlineStr">
        <is>
          <t>Não</t>
        </is>
      </c>
      <c r="Q53" t="inlineStr">
        <is>
          <t>Não</t>
        </is>
      </c>
      <c r="R53" t="inlineStr">
        <is>
          <t>Não</t>
        </is>
      </c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Sim</t>
        </is>
      </c>
      <c r="W53" t="inlineStr">
        <is>
          <t>Sim</t>
        </is>
      </c>
      <c r="X53" t="inlineStr">
        <is>
          <t>Sim</t>
        </is>
      </c>
      <c r="Y53" t="inlineStr">
        <is>
          <t>Sim</t>
        </is>
      </c>
      <c r="Z53" t="inlineStr">
        <is>
          <t>Sim</t>
        </is>
      </c>
      <c r="AA53" t="inlineStr">
        <is>
          <t>Sim</t>
        </is>
      </c>
      <c r="AB53" t="inlineStr">
        <is>
          <t>Não</t>
        </is>
      </c>
      <c r="AC53" t="inlineStr">
        <is>
          <t>Sim</t>
        </is>
      </c>
      <c r="AD53" t="inlineStr">
        <is>
          <t>Sim</t>
        </is>
      </c>
      <c r="AE53" t="inlineStr">
        <is>
          <t>Sim</t>
        </is>
      </c>
      <c r="AF53" t="inlineStr">
        <is>
          <t>Não</t>
        </is>
      </c>
      <c r="AG53" t="inlineStr">
        <is>
          <t>Não</t>
        </is>
      </c>
    </row>
    <row r="54">
      <c r="A54" t="inlineStr">
        <is>
          <t>P6.b.4</t>
        </is>
      </c>
      <c r="B54" t="inlineStr">
        <is>
          <t>6.b</t>
        </is>
      </c>
      <c r="C54" t="inlineStr">
        <is>
          <t>Sim</t>
        </is>
      </c>
      <c r="D54" t="inlineStr">
        <is>
          <t>Sim</t>
        </is>
      </c>
      <c r="E54" t="inlineStr">
        <is>
          <t>Sim</t>
        </is>
      </c>
      <c r="F54" t="inlineStr">
        <is>
          <t>Sim</t>
        </is>
      </c>
      <c r="G54" t="inlineStr">
        <is>
          <t>Sim</t>
        </is>
      </c>
      <c r="H54" t="inlineStr">
        <is>
          <t>Sim</t>
        </is>
      </c>
      <c r="I54" t="inlineStr">
        <is>
          <t>Sim</t>
        </is>
      </c>
      <c r="J54" t="inlineStr">
        <is>
          <t>Sim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Não</t>
        </is>
      </c>
      <c r="O54" t="inlineStr">
        <is>
          <t>Não</t>
        </is>
      </c>
      <c r="P54" t="inlineStr">
        <is>
          <t>Não</t>
        </is>
      </c>
      <c r="Q54" t="inlineStr">
        <is>
          <t>Não</t>
        </is>
      </c>
      <c r="R54" t="inlineStr">
        <is>
          <t>Não</t>
        </is>
      </c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Sim</t>
        </is>
      </c>
      <c r="W54" t="inlineStr">
        <is>
          <t>Sim</t>
        </is>
      </c>
      <c r="X54" t="inlineStr">
        <is>
          <t>Sim</t>
        </is>
      </c>
      <c r="Y54" t="inlineStr">
        <is>
          <t>Sim</t>
        </is>
      </c>
      <c r="Z54" t="inlineStr">
        <is>
          <t>Sim</t>
        </is>
      </c>
      <c r="AA54" t="inlineStr">
        <is>
          <t>Sim</t>
        </is>
      </c>
      <c r="AB54" t="inlineStr">
        <is>
          <t>Não</t>
        </is>
      </c>
      <c r="AC54" t="inlineStr">
        <is>
          <t>Sim</t>
        </is>
      </c>
      <c r="AD54" t="inlineStr">
        <is>
          <t>Sim</t>
        </is>
      </c>
      <c r="AE54" t="inlineStr">
        <is>
          <t>Sim</t>
        </is>
      </c>
      <c r="AF54" t="inlineStr">
        <is>
          <t>Não</t>
        </is>
      </c>
      <c r="AG54" t="inlineStr">
        <is>
          <t>N/A</t>
        </is>
      </c>
    </row>
    <row r="55">
      <c r="A55" t="inlineStr">
        <is>
          <t>P6.b.5</t>
        </is>
      </c>
      <c r="B55" t="inlineStr">
        <is>
          <t>6.b</t>
        </is>
      </c>
      <c r="C55" t="inlineStr">
        <is>
          <t>Sim</t>
        </is>
      </c>
      <c r="D55" t="inlineStr">
        <is>
          <t>Sim</t>
        </is>
      </c>
      <c r="E55" t="inlineStr">
        <is>
          <t>Sim</t>
        </is>
      </c>
      <c r="F55" t="inlineStr">
        <is>
          <t>Sim</t>
        </is>
      </c>
      <c r="G55" t="inlineStr">
        <is>
          <t>Sim</t>
        </is>
      </c>
      <c r="H55" t="inlineStr">
        <is>
          <t>Sim</t>
        </is>
      </c>
      <c r="I55" t="inlineStr">
        <is>
          <t>Sim</t>
        </is>
      </c>
      <c r="J55" t="inlineStr">
        <is>
          <t>Sim</t>
        </is>
      </c>
      <c r="K55" t="inlineStr">
        <is>
          <t>Sim</t>
        </is>
      </c>
      <c r="L55" t="inlineStr">
        <is>
          <t>Sim</t>
        </is>
      </c>
      <c r="M55" t="inlineStr">
        <is>
          <t>Sim</t>
        </is>
      </c>
      <c r="N55" t="inlineStr">
        <is>
          <t>Não</t>
        </is>
      </c>
      <c r="O55" t="inlineStr">
        <is>
          <t>Não</t>
        </is>
      </c>
      <c r="P55" t="inlineStr">
        <is>
          <t>Não</t>
        </is>
      </c>
      <c r="Q55" t="inlineStr">
        <is>
          <t>Não</t>
        </is>
      </c>
      <c r="R55" t="inlineStr">
        <is>
          <t>Não</t>
        </is>
      </c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Sim</t>
        </is>
      </c>
      <c r="W55" t="inlineStr">
        <is>
          <t>Sim</t>
        </is>
      </c>
      <c r="X55" t="inlineStr">
        <is>
          <t>Sim</t>
        </is>
      </c>
      <c r="Y55" t="inlineStr">
        <is>
          <t>Sim</t>
        </is>
      </c>
      <c r="Z55" t="inlineStr">
        <is>
          <t>Sim</t>
        </is>
      </c>
      <c r="AA55" t="inlineStr">
        <is>
          <t>Sim</t>
        </is>
      </c>
      <c r="AB55" t="inlineStr">
        <is>
          <t>Não</t>
        </is>
      </c>
      <c r="AC55" t="inlineStr">
        <is>
          <t>Sim</t>
        </is>
      </c>
      <c r="AD55" t="inlineStr">
        <is>
          <t>Sim</t>
        </is>
      </c>
      <c r="AE55" t="inlineStr">
        <is>
          <t>Sim</t>
        </is>
      </c>
      <c r="AF55" t="inlineStr">
        <is>
          <t>Não</t>
        </is>
      </c>
      <c r="AG55" t="inlineStr">
        <is>
          <t>Não</t>
        </is>
      </c>
    </row>
    <row r="56">
      <c r="A56" t="inlineStr">
        <is>
          <t>P6.b.4.1</t>
        </is>
      </c>
      <c r="B56" t="inlineStr">
        <is>
          <t>6.b</t>
        </is>
      </c>
      <c r="C56" t="inlineStr">
        <is>
          <t>Sim</t>
        </is>
      </c>
      <c r="D56" t="inlineStr">
        <is>
          <t>Sim</t>
        </is>
      </c>
      <c r="E56" t="inlineStr">
        <is>
          <t>Sim</t>
        </is>
      </c>
      <c r="F56" t="inlineStr">
        <is>
          <t>Sim</t>
        </is>
      </c>
      <c r="G56" t="inlineStr">
        <is>
          <t>Sim</t>
        </is>
      </c>
      <c r="H56" t="inlineStr">
        <is>
          <t>Sim</t>
        </is>
      </c>
      <c r="I56" t="inlineStr">
        <is>
          <t>Sim</t>
        </is>
      </c>
      <c r="J56" t="inlineStr">
        <is>
          <t>Sim</t>
        </is>
      </c>
      <c r="K56" t="inlineStr">
        <is>
          <t>Sim</t>
        </is>
      </c>
      <c r="L56" t="inlineStr">
        <is>
          <t>Sim</t>
        </is>
      </c>
      <c r="M56" t="inlineStr">
        <is>
          <t>Sim</t>
        </is>
      </c>
      <c r="N56" t="inlineStr">
        <is>
          <t>Sim</t>
        </is>
      </c>
      <c r="O56" t="inlineStr">
        <is>
          <t>Sim</t>
        </is>
      </c>
      <c r="P56" t="inlineStr">
        <is>
          <t>Sim</t>
        </is>
      </c>
      <c r="Q56" t="inlineStr">
        <is>
          <t>Sim</t>
        </is>
      </c>
      <c r="R56" t="inlineStr">
        <is>
          <t>Sim</t>
        </is>
      </c>
      <c r="S56" t="inlineStr">
        <is>
          <t>Sim</t>
        </is>
      </c>
      <c r="T56" t="inlineStr">
        <is>
          <t>Sim</t>
        </is>
      </c>
      <c r="U56" t="inlineStr">
        <is>
          <t>Sim</t>
        </is>
      </c>
      <c r="V56" t="inlineStr">
        <is>
          <t>Sim</t>
        </is>
      </c>
      <c r="W56" t="inlineStr">
        <is>
          <t>Sim</t>
        </is>
      </c>
      <c r="X56" t="inlineStr">
        <is>
          <t>Sim</t>
        </is>
      </c>
      <c r="Y56" t="inlineStr">
        <is>
          <t>Sim</t>
        </is>
      </c>
      <c r="Z56" t="inlineStr">
        <is>
          <t>Sim</t>
        </is>
      </c>
      <c r="AA56" t="inlineStr">
        <is>
          <t>Sim</t>
        </is>
      </c>
      <c r="AB56" t="inlineStr">
        <is>
          <t>Sim</t>
        </is>
      </c>
      <c r="AC56" t="inlineStr">
        <is>
          <t>Sim</t>
        </is>
      </c>
      <c r="AD56" t="inlineStr">
        <is>
          <t>Não</t>
        </is>
      </c>
      <c r="AE56" t="inlineStr">
        <is>
          <t>Sim</t>
        </is>
      </c>
      <c r="AF56" t="inlineStr">
        <is>
          <t>Sim</t>
        </is>
      </c>
      <c r="AG56" t="inlineStr">
        <is>
          <t>N/A</t>
        </is>
      </c>
    </row>
    <row r="57">
      <c r="A57" t="inlineStr">
        <is>
          <t>P6.b.6</t>
        </is>
      </c>
      <c r="B57" t="inlineStr">
        <is>
          <t>6.b</t>
        </is>
      </c>
      <c r="C57" t="inlineStr">
        <is>
          <t>Sim</t>
        </is>
      </c>
      <c r="D57" t="inlineStr">
        <is>
          <t>Sim</t>
        </is>
      </c>
      <c r="E57" t="inlineStr">
        <is>
          <t>Sim</t>
        </is>
      </c>
      <c r="F57" t="inlineStr">
        <is>
          <t>Sim</t>
        </is>
      </c>
      <c r="G57" t="inlineStr">
        <is>
          <t>Sim</t>
        </is>
      </c>
      <c r="H57" t="inlineStr">
        <is>
          <t>Sim</t>
        </is>
      </c>
      <c r="I57" t="inlineStr">
        <is>
          <t>Sim</t>
        </is>
      </c>
      <c r="J57" t="inlineStr">
        <is>
          <t>Sim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inlineStr">
        <is>
          <t>Sim</t>
        </is>
      </c>
      <c r="P57" t="inlineStr">
        <is>
          <t>Sim</t>
        </is>
      </c>
      <c r="Q57" t="inlineStr">
        <is>
          <t>Sim</t>
        </is>
      </c>
      <c r="R57" t="inlineStr">
        <is>
          <t>Sim</t>
        </is>
      </c>
      <c r="S57" t="inlineStr">
        <is>
          <t>Sim</t>
        </is>
      </c>
      <c r="T57" t="inlineStr">
        <is>
          <t>Sim</t>
        </is>
      </c>
      <c r="U57" t="inlineStr">
        <is>
          <t>Sim</t>
        </is>
      </c>
      <c r="V57" t="inlineStr">
        <is>
          <t>Sim</t>
        </is>
      </c>
      <c r="W57" t="inlineStr">
        <is>
          <t>Sim</t>
        </is>
      </c>
      <c r="X57" t="inlineStr">
        <is>
          <t>Sim</t>
        </is>
      </c>
      <c r="Y57" t="inlineStr">
        <is>
          <t>Sim</t>
        </is>
      </c>
      <c r="Z57" t="inlineStr">
        <is>
          <t>Sim</t>
        </is>
      </c>
      <c r="AA57" t="inlineStr">
        <is>
          <t>Sim</t>
        </is>
      </c>
      <c r="AB57" t="inlineStr">
        <is>
          <t>Sim</t>
        </is>
      </c>
      <c r="AC57" t="inlineStr">
        <is>
          <t>Parcial (8/9)</t>
        </is>
      </c>
      <c r="AD57" t="inlineStr">
        <is>
          <t>Sim</t>
        </is>
      </c>
      <c r="AE57" t="inlineStr">
        <is>
          <t>Sim</t>
        </is>
      </c>
      <c r="AF57" t="inlineStr">
        <is>
          <t>Sim</t>
        </is>
      </c>
      <c r="AG57" t="inlineStr">
        <is>
          <t>N/A</t>
        </is>
      </c>
    </row>
    <row r="58">
      <c r="A58" t="inlineStr">
        <is>
          <t>P6.b.7</t>
        </is>
      </c>
      <c r="B58" t="inlineStr">
        <is>
          <t>6.b</t>
        </is>
      </c>
      <c r="C58" t="inlineStr">
        <is>
          <t>Sim</t>
        </is>
      </c>
      <c r="D58" t="inlineStr">
        <is>
          <t>Sim</t>
        </is>
      </c>
      <c r="E58" t="inlineStr">
        <is>
          <t>Sim</t>
        </is>
      </c>
      <c r="F58" t="inlineStr">
        <is>
          <t>Sim</t>
        </is>
      </c>
      <c r="G58" t="inlineStr">
        <is>
          <t>Sim</t>
        </is>
      </c>
      <c r="H58" t="inlineStr">
        <is>
          <t>Sim</t>
        </is>
      </c>
      <c r="I58" t="inlineStr">
        <is>
          <t>Sim</t>
        </is>
      </c>
      <c r="J58" t="inlineStr">
        <is>
          <t>Sim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inlineStr">
        <is>
          <t>Sim</t>
        </is>
      </c>
      <c r="P58" t="inlineStr">
        <is>
          <t>Sim</t>
        </is>
      </c>
      <c r="Q58" t="inlineStr">
        <is>
          <t>Sim</t>
        </is>
      </c>
      <c r="R58" t="inlineStr">
        <is>
          <t>Sim</t>
        </is>
      </c>
      <c r="S58" t="inlineStr">
        <is>
          <t>Sim</t>
        </is>
      </c>
      <c r="T58" t="inlineStr">
        <is>
          <t>Sim</t>
        </is>
      </c>
      <c r="U58" t="inlineStr">
        <is>
          <t>Sim</t>
        </is>
      </c>
      <c r="V58" t="inlineStr">
        <is>
          <t>Sim</t>
        </is>
      </c>
      <c r="W58" t="inlineStr">
        <is>
          <t>Sim</t>
        </is>
      </c>
      <c r="X58" t="inlineStr">
        <is>
          <t>Sim</t>
        </is>
      </c>
      <c r="Y58" t="inlineStr">
        <is>
          <t>Sim</t>
        </is>
      </c>
      <c r="Z58" t="inlineStr">
        <is>
          <t>Sim</t>
        </is>
      </c>
      <c r="AA58" t="inlineStr">
        <is>
          <t>Sim</t>
        </is>
      </c>
      <c r="AB58" t="inlineStr">
        <is>
          <t>Sim</t>
        </is>
      </c>
      <c r="AC58" t="inlineStr">
        <is>
          <t>Sim</t>
        </is>
      </c>
      <c r="AD58" t="inlineStr">
        <is>
          <t>Sim</t>
        </is>
      </c>
      <c r="AE58" t="inlineStr">
        <is>
          <t>Não</t>
        </is>
      </c>
      <c r="AF58" t="inlineStr">
        <is>
          <t>Não</t>
        </is>
      </c>
      <c r="AG58" t="inlineStr">
        <is>
          <t>Sim</t>
        </is>
      </c>
    </row>
    <row r="59">
      <c r="A59" t="inlineStr">
        <is>
          <t>P7.1</t>
        </is>
      </c>
      <c r="B59" t="inlineStr">
        <is>
          <t>7</t>
        </is>
      </c>
      <c r="C59" t="inlineStr">
        <is>
          <t>Sim</t>
        </is>
      </c>
      <c r="D59" t="inlineStr">
        <is>
          <t>Sim</t>
        </is>
      </c>
      <c r="E59" t="inlineStr">
        <is>
          <t>Sim</t>
        </is>
      </c>
      <c r="F59" t="inlineStr">
        <is>
          <t>Sim</t>
        </is>
      </c>
      <c r="G59" t="inlineStr">
        <is>
          <t>Sim</t>
        </is>
      </c>
      <c r="H59" t="inlineStr">
        <is>
          <t>Sim</t>
        </is>
      </c>
      <c r="I59" t="inlineStr">
        <is>
          <t>Não</t>
        </is>
      </c>
      <c r="J59" t="inlineStr">
        <is>
          <t>Não</t>
        </is>
      </c>
      <c r="K59" t="inlineStr">
        <is>
          <t>Não</t>
        </is>
      </c>
      <c r="L59" t="inlineStr">
        <is>
          <t>Não</t>
        </is>
      </c>
      <c r="M59" t="inlineStr">
        <is>
          <t>Sim</t>
        </is>
      </c>
      <c r="N59" t="inlineStr">
        <is>
          <t>Sim</t>
        </is>
      </c>
      <c r="O59" t="inlineStr">
        <is>
          <t>Sim</t>
        </is>
      </c>
      <c r="P59" t="inlineStr">
        <is>
          <t>Sim</t>
        </is>
      </c>
      <c r="Q59" t="inlineStr">
        <is>
          <t>Sim</t>
        </is>
      </c>
      <c r="R59" t="inlineStr">
        <is>
          <t>Não</t>
        </is>
      </c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Sim</t>
        </is>
      </c>
      <c r="W59" t="inlineStr">
        <is>
          <t>Sim</t>
        </is>
      </c>
      <c r="X59" t="inlineStr">
        <is>
          <t>Sim</t>
        </is>
      </c>
      <c r="Y59" t="inlineStr">
        <is>
          <t>Sim</t>
        </is>
      </c>
      <c r="Z59" t="inlineStr">
        <is>
          <t>Não</t>
        </is>
      </c>
      <c r="AA59" t="inlineStr">
        <is>
          <t>Sim</t>
        </is>
      </c>
      <c r="AB59" t="inlineStr">
        <is>
          <t>Não</t>
        </is>
      </c>
      <c r="AC59" t="inlineStr">
        <is>
          <t>Sim</t>
        </is>
      </c>
      <c r="AD59" t="inlineStr">
        <is>
          <t>Sim</t>
        </is>
      </c>
      <c r="AE59" t="inlineStr">
        <is>
          <t>Sim</t>
        </is>
      </c>
      <c r="AF59" t="inlineStr">
        <is>
          <t>Não</t>
        </is>
      </c>
      <c r="AG59" t="inlineStr">
        <is>
          <t>Sim</t>
        </is>
      </c>
    </row>
    <row r="60">
      <c r="A60" t="inlineStr">
        <is>
          <t>P7.2</t>
        </is>
      </c>
      <c r="B60" t="inlineStr">
        <is>
          <t>7</t>
        </is>
      </c>
      <c r="C60" t="inlineStr">
        <is>
          <t>Sim</t>
        </is>
      </c>
      <c r="D60" t="inlineStr">
        <is>
          <t>Sim</t>
        </is>
      </c>
      <c r="E60" t="inlineStr">
        <is>
          <t>Sim</t>
        </is>
      </c>
      <c r="F60" t="inlineStr">
        <is>
          <t>Sim</t>
        </is>
      </c>
      <c r="G60" t="inlineStr">
        <is>
          <t>Sim</t>
        </is>
      </c>
      <c r="H60" t="inlineStr">
        <is>
          <t>Sim</t>
        </is>
      </c>
      <c r="I60" t="inlineStr">
        <is>
          <t>Não</t>
        </is>
      </c>
      <c r="J60" t="inlineStr">
        <is>
          <t>Sim</t>
        </is>
      </c>
      <c r="K60" t="inlineStr">
        <is>
          <t>Não</t>
        </is>
      </c>
      <c r="L60" t="inlineStr">
        <is>
          <t>Não</t>
        </is>
      </c>
      <c r="M60" t="inlineStr">
        <is>
          <t>Sim</t>
        </is>
      </c>
      <c r="N60" t="inlineStr">
        <is>
          <t>Sim</t>
        </is>
      </c>
      <c r="O60" t="inlineStr">
        <is>
          <t>Sim</t>
        </is>
      </c>
      <c r="P60" t="inlineStr">
        <is>
          <t>Sim</t>
        </is>
      </c>
      <c r="Q60" t="inlineStr">
        <is>
          <t>Sim</t>
        </is>
      </c>
      <c r="R60" t="inlineStr">
        <is>
          <t>Sim</t>
        </is>
      </c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Sim</t>
        </is>
      </c>
      <c r="W60" t="inlineStr">
        <is>
          <t>Sim</t>
        </is>
      </c>
      <c r="X60" t="inlineStr">
        <is>
          <t>Sim</t>
        </is>
      </c>
      <c r="Y60" t="inlineStr">
        <is>
          <t>Sim</t>
        </is>
      </c>
      <c r="Z60" t="inlineStr">
        <is>
          <t>Não</t>
        </is>
      </c>
      <c r="AA60" t="inlineStr">
        <is>
          <t>Sim</t>
        </is>
      </c>
      <c r="AB60" t="inlineStr">
        <is>
          <t>Não</t>
        </is>
      </c>
      <c r="AC60" t="inlineStr">
        <is>
          <t>Sim</t>
        </is>
      </c>
      <c r="AD60" t="inlineStr">
        <is>
          <t>Sim</t>
        </is>
      </c>
      <c r="AE60" t="inlineStr">
        <is>
          <t>Sim</t>
        </is>
      </c>
      <c r="AF60" t="inlineStr">
        <is>
          <t>Não</t>
        </is>
      </c>
      <c r="AG60" t="inlineStr">
        <is>
          <t>Sim</t>
        </is>
      </c>
    </row>
    <row r="61">
      <c r="A61" t="inlineStr">
        <is>
          <t>P7.3</t>
        </is>
      </c>
      <c r="B61" t="inlineStr">
        <is>
          <t>7</t>
        </is>
      </c>
      <c r="C61" t="inlineStr">
        <is>
          <t>Sim</t>
        </is>
      </c>
      <c r="D61" t="inlineStr">
        <is>
          <t>Sim</t>
        </is>
      </c>
      <c r="E61" t="inlineStr">
        <is>
          <t>Sim</t>
        </is>
      </c>
      <c r="F61" t="inlineStr">
        <is>
          <t>Sim</t>
        </is>
      </c>
      <c r="G61" t="inlineStr">
        <is>
          <t>Sim</t>
        </is>
      </c>
      <c r="H61" t="inlineStr">
        <is>
          <t>Sim</t>
        </is>
      </c>
      <c r="I61" t="inlineStr">
        <is>
          <t>Não</t>
        </is>
      </c>
      <c r="J61" t="inlineStr">
        <is>
          <t>Sim</t>
        </is>
      </c>
      <c r="K61" t="inlineStr">
        <is>
          <t>Não</t>
        </is>
      </c>
      <c r="L61" t="inlineStr">
        <is>
          <t>Não</t>
        </is>
      </c>
      <c r="M61" t="inlineStr">
        <is>
          <t>Sim</t>
        </is>
      </c>
      <c r="N61" t="inlineStr">
        <is>
          <t>Sim</t>
        </is>
      </c>
      <c r="O61" t="inlineStr">
        <is>
          <t>Sim</t>
        </is>
      </c>
      <c r="P61" t="inlineStr">
        <is>
          <t>Sim</t>
        </is>
      </c>
      <c r="Q61" t="inlineStr">
        <is>
          <t>Sim</t>
        </is>
      </c>
      <c r="R61" t="inlineStr">
        <is>
          <t>Sim</t>
        </is>
      </c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Sim</t>
        </is>
      </c>
      <c r="W61" t="inlineStr">
        <is>
          <t>Sim</t>
        </is>
      </c>
      <c r="X61" t="inlineStr">
        <is>
          <t>Sim</t>
        </is>
      </c>
      <c r="Y61" t="inlineStr">
        <is>
          <t>Sim</t>
        </is>
      </c>
      <c r="Z61" t="inlineStr">
        <is>
          <t>Não</t>
        </is>
      </c>
      <c r="AA61" t="inlineStr">
        <is>
          <t>Sim</t>
        </is>
      </c>
      <c r="AB61" t="inlineStr">
        <is>
          <t>Não</t>
        </is>
      </c>
      <c r="AC61" t="inlineStr">
        <is>
          <t>Sim</t>
        </is>
      </c>
      <c r="AD61" t="inlineStr">
        <is>
          <t>Sim</t>
        </is>
      </c>
      <c r="AE61" t="inlineStr">
        <is>
          <t>Sim</t>
        </is>
      </c>
      <c r="AF61" t="inlineStr">
        <is>
          <t>Não</t>
        </is>
      </c>
      <c r="AG61" t="inlineStr">
        <is>
          <t>Sim</t>
        </is>
      </c>
    </row>
    <row r="62">
      <c r="A62" t="inlineStr">
        <is>
          <t>P7.4</t>
        </is>
      </c>
      <c r="B62" t="inlineStr">
        <is>
          <t>7</t>
        </is>
      </c>
      <c r="C62" t="inlineStr">
        <is>
          <t>Sim</t>
        </is>
      </c>
      <c r="D62" t="inlineStr">
        <is>
          <t>Sim</t>
        </is>
      </c>
      <c r="E62" t="inlineStr">
        <is>
          <t>Sim</t>
        </is>
      </c>
      <c r="F62" t="inlineStr">
        <is>
          <t>Sim</t>
        </is>
      </c>
      <c r="G62" t="inlineStr">
        <is>
          <t>Sim</t>
        </is>
      </c>
      <c r="H62" t="inlineStr">
        <is>
          <t>Sim</t>
        </is>
      </c>
      <c r="I62" t="inlineStr">
        <is>
          <t>Sim</t>
        </is>
      </c>
      <c r="J62" t="inlineStr">
        <is>
          <t>Sim</t>
        </is>
      </c>
      <c r="K62" t="inlineStr">
        <is>
          <t>Sim</t>
        </is>
      </c>
      <c r="L62" t="inlineStr">
        <is>
          <t>Não</t>
        </is>
      </c>
      <c r="M62" t="inlineStr">
        <is>
          <t>Sim</t>
        </is>
      </c>
      <c r="N62" t="inlineStr">
        <is>
          <t>Sim</t>
        </is>
      </c>
      <c r="O62" t="inlineStr">
        <is>
          <t>Sim</t>
        </is>
      </c>
      <c r="P62" t="inlineStr">
        <is>
          <t>Sim</t>
        </is>
      </c>
      <c r="Q62" t="inlineStr">
        <is>
          <t>Sim</t>
        </is>
      </c>
      <c r="R62" t="inlineStr">
        <is>
          <t>Sim</t>
        </is>
      </c>
      <c r="S62" t="inlineStr">
        <is>
          <t>Sim</t>
        </is>
      </c>
      <c r="T62" t="inlineStr">
        <is>
          <t>Não</t>
        </is>
      </c>
      <c r="U62" t="inlineStr">
        <is>
          <t>Sim</t>
        </is>
      </c>
      <c r="V62" t="inlineStr">
        <is>
          <t>Sim</t>
        </is>
      </c>
      <c r="W62" t="inlineStr">
        <is>
          <t>Sim</t>
        </is>
      </c>
      <c r="X62" t="inlineStr">
        <is>
          <t>Sim</t>
        </is>
      </c>
      <c r="Y62" t="inlineStr">
        <is>
          <t>Sim</t>
        </is>
      </c>
      <c r="Z62" t="inlineStr">
        <is>
          <t>Não</t>
        </is>
      </c>
      <c r="AA62" t="inlineStr">
        <is>
          <t>Sim</t>
        </is>
      </c>
      <c r="AB62" t="inlineStr">
        <is>
          <t>Não</t>
        </is>
      </c>
      <c r="AC62" t="inlineStr">
        <is>
          <t>Sim</t>
        </is>
      </c>
      <c r="AD62" t="inlineStr">
        <is>
          <t>Sim</t>
        </is>
      </c>
      <c r="AE62" t="inlineStr">
        <is>
          <t>Sim</t>
        </is>
      </c>
      <c r="AF62" t="inlineStr">
        <is>
          <t>Não</t>
        </is>
      </c>
      <c r="AG62" t="inlineStr">
        <is>
          <t>Sim</t>
        </is>
      </c>
    </row>
    <row r="63">
      <c r="A63" t="inlineStr">
        <is>
          <t>P7.5</t>
        </is>
      </c>
      <c r="B63" t="inlineStr">
        <is>
          <t>7</t>
        </is>
      </c>
      <c r="C63" t="inlineStr">
        <is>
          <t>Sim</t>
        </is>
      </c>
      <c r="D63" t="inlineStr">
        <is>
          <t>Sim</t>
        </is>
      </c>
      <c r="E63" t="inlineStr">
        <is>
          <t>Sim</t>
        </is>
      </c>
      <c r="F63" t="inlineStr">
        <is>
          <t>Sim</t>
        </is>
      </c>
      <c r="G63" t="inlineStr">
        <is>
          <t>Sim</t>
        </is>
      </c>
      <c r="H63" t="inlineStr">
        <is>
          <t>Sim</t>
        </is>
      </c>
      <c r="I63" t="inlineStr">
        <is>
          <t>Não</t>
        </is>
      </c>
      <c r="J63" t="inlineStr">
        <is>
          <t>Sim</t>
        </is>
      </c>
      <c r="K63" t="inlineStr">
        <is>
          <t>Não</t>
        </is>
      </c>
      <c r="L63" t="inlineStr">
        <is>
          <t>Não</t>
        </is>
      </c>
      <c r="M63" t="inlineStr">
        <is>
          <t>Sim</t>
        </is>
      </c>
      <c r="N63" t="inlineStr">
        <is>
          <t>Sim</t>
        </is>
      </c>
      <c r="O63" t="inlineStr">
        <is>
          <t>Sim</t>
        </is>
      </c>
      <c r="P63" t="inlineStr">
        <is>
          <t>Sim</t>
        </is>
      </c>
      <c r="Q63" t="inlineStr">
        <is>
          <t>Sim</t>
        </is>
      </c>
      <c r="R63" t="inlineStr">
        <is>
          <t>Sim</t>
        </is>
      </c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Sim</t>
        </is>
      </c>
      <c r="W63" t="inlineStr">
        <is>
          <t>Sim</t>
        </is>
      </c>
      <c r="X63" t="inlineStr">
        <is>
          <t>Sim</t>
        </is>
      </c>
      <c r="Y63" t="inlineStr">
        <is>
          <t>Sim</t>
        </is>
      </c>
      <c r="Z63" t="inlineStr">
        <is>
          <t>Não</t>
        </is>
      </c>
      <c r="AA63" t="inlineStr">
        <is>
          <t>Sim</t>
        </is>
      </c>
      <c r="AB63" t="inlineStr">
        <is>
          <t>Não</t>
        </is>
      </c>
      <c r="AC63" t="inlineStr">
        <is>
          <t>Sim</t>
        </is>
      </c>
      <c r="AD63" t="inlineStr">
        <is>
          <t>Sim</t>
        </is>
      </c>
      <c r="AE63" t="inlineStr">
        <is>
          <t>Sim</t>
        </is>
      </c>
      <c r="AF63" t="inlineStr">
        <is>
          <t>Não</t>
        </is>
      </c>
      <c r="AG63" t="inlineStr">
        <is>
          <t>Sim</t>
        </is>
      </c>
    </row>
    <row r="64">
      <c r="A64" t="inlineStr">
        <is>
          <t>P7.6</t>
        </is>
      </c>
      <c r="B64" t="inlineStr">
        <is>
          <t>7</t>
        </is>
      </c>
      <c r="C64" t="inlineStr">
        <is>
          <t>Sim</t>
        </is>
      </c>
      <c r="D64" t="inlineStr">
        <is>
          <t>Sim</t>
        </is>
      </c>
      <c r="E64" t="inlineStr">
        <is>
          <t>Sim</t>
        </is>
      </c>
      <c r="F64" t="inlineStr">
        <is>
          <t>Sim</t>
        </is>
      </c>
      <c r="G64" t="inlineStr">
        <is>
          <t>Sim</t>
        </is>
      </c>
      <c r="H64" t="inlineStr">
        <is>
          <t>Sim</t>
        </is>
      </c>
      <c r="I64" t="inlineStr">
        <is>
          <t>Sim</t>
        </is>
      </c>
      <c r="J64" t="inlineStr">
        <is>
          <t>Não</t>
        </is>
      </c>
      <c r="K64" t="inlineStr">
        <is>
          <t>Sim</t>
        </is>
      </c>
      <c r="L64" t="inlineStr">
        <is>
          <t>Não</t>
        </is>
      </c>
      <c r="M64" t="inlineStr">
        <is>
          <t>Sim</t>
        </is>
      </c>
      <c r="N64" t="inlineStr">
        <is>
          <t>Sim</t>
        </is>
      </c>
      <c r="O64" t="inlineStr">
        <is>
          <t>Sim</t>
        </is>
      </c>
      <c r="P64" t="inlineStr">
        <is>
          <t>Sim</t>
        </is>
      </c>
      <c r="Q64" t="inlineStr">
        <is>
          <t>Sim</t>
        </is>
      </c>
      <c r="R64" t="inlineStr">
        <is>
          <t>Não</t>
        </is>
      </c>
      <c r="S64" t="inlineStr">
        <is>
          <t>Sim</t>
        </is>
      </c>
      <c r="T64" t="inlineStr">
        <is>
          <t>Não</t>
        </is>
      </c>
      <c r="U64" t="inlineStr">
        <is>
          <t>Sim</t>
        </is>
      </c>
      <c r="V64" t="inlineStr">
        <is>
          <t>Sim</t>
        </is>
      </c>
      <c r="W64" t="inlineStr">
        <is>
          <t>Sim</t>
        </is>
      </c>
      <c r="X64" t="inlineStr">
        <is>
          <t>Sim</t>
        </is>
      </c>
      <c r="Y64" t="inlineStr">
        <is>
          <t>Sim</t>
        </is>
      </c>
      <c r="Z64" t="inlineStr">
        <is>
          <t>Não</t>
        </is>
      </c>
      <c r="AA64" t="inlineStr">
        <is>
          <t>Sim</t>
        </is>
      </c>
      <c r="AB64" t="inlineStr">
        <is>
          <t>Não</t>
        </is>
      </c>
      <c r="AC64" t="inlineStr">
        <is>
          <t>Sim</t>
        </is>
      </c>
      <c r="AD64" t="inlineStr">
        <is>
          <t>Sim</t>
        </is>
      </c>
      <c r="AE64" t="inlineStr">
        <is>
          <t>Sim</t>
        </is>
      </c>
      <c r="AF64" t="inlineStr">
        <is>
          <t>Não</t>
        </is>
      </c>
      <c r="AG64" t="inlineStr">
        <is>
          <t>Sim</t>
        </is>
      </c>
    </row>
    <row r="65">
      <c r="A65" t="inlineStr">
        <is>
          <t>P7.7</t>
        </is>
      </c>
      <c r="B65" t="inlineStr">
        <is>
          <t>7</t>
        </is>
      </c>
      <c r="C65" t="inlineStr">
        <is>
          <t>Sim</t>
        </is>
      </c>
      <c r="D65" t="inlineStr">
        <is>
          <t>Sim</t>
        </is>
      </c>
      <c r="E65" t="inlineStr">
        <is>
          <t>Sim</t>
        </is>
      </c>
      <c r="F65" t="inlineStr">
        <is>
          <t>Sim</t>
        </is>
      </c>
      <c r="G65" t="inlineStr">
        <is>
          <t>Sim</t>
        </is>
      </c>
      <c r="H65" t="inlineStr">
        <is>
          <t>Sim</t>
        </is>
      </c>
      <c r="I65" t="inlineStr">
        <is>
          <t>Sim</t>
        </is>
      </c>
      <c r="J65" t="inlineStr">
        <is>
          <t>Não</t>
        </is>
      </c>
      <c r="K65" t="inlineStr">
        <is>
          <t>Não</t>
        </is>
      </c>
      <c r="L65" t="inlineStr">
        <is>
          <t>Não</t>
        </is>
      </c>
      <c r="M65" t="inlineStr">
        <is>
          <t>Sim</t>
        </is>
      </c>
      <c r="N65" t="inlineStr">
        <is>
          <t>Sim</t>
        </is>
      </c>
      <c r="O65" t="inlineStr">
        <is>
          <t>Sim</t>
        </is>
      </c>
      <c r="P65" t="inlineStr">
        <is>
          <t>Sim</t>
        </is>
      </c>
      <c r="Q65" t="inlineStr">
        <is>
          <t>Sim</t>
        </is>
      </c>
      <c r="R65" t="inlineStr">
        <is>
          <t>Não</t>
        </is>
      </c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Sim</t>
        </is>
      </c>
      <c r="W65" t="inlineStr">
        <is>
          <t>Sim</t>
        </is>
      </c>
      <c r="X65" t="inlineStr">
        <is>
          <t>Sim</t>
        </is>
      </c>
      <c r="Y65" t="inlineStr">
        <is>
          <t>Sim</t>
        </is>
      </c>
      <c r="Z65" t="inlineStr">
        <is>
          <t>Não</t>
        </is>
      </c>
      <c r="AA65" t="inlineStr">
        <is>
          <t>Sim</t>
        </is>
      </c>
      <c r="AB65" t="inlineStr">
        <is>
          <t>Não</t>
        </is>
      </c>
      <c r="AC65" t="inlineStr">
        <is>
          <t>Sim</t>
        </is>
      </c>
      <c r="AD65" t="inlineStr">
        <is>
          <t>Sim</t>
        </is>
      </c>
      <c r="AE65" t="inlineStr">
        <is>
          <t>Sim</t>
        </is>
      </c>
      <c r="AF65" t="inlineStr">
        <is>
          <t>Não</t>
        </is>
      </c>
      <c r="AG65" t="inlineStr">
        <is>
          <t>Sim</t>
        </is>
      </c>
    </row>
    <row r="66">
      <c r="A66" t="inlineStr">
        <is>
          <t>P7.8</t>
        </is>
      </c>
      <c r="B66" t="inlineStr">
        <is>
          <t>7</t>
        </is>
      </c>
      <c r="C66" t="inlineStr">
        <is>
          <t>Sim</t>
        </is>
      </c>
      <c r="D66" t="inlineStr">
        <is>
          <t>Sim</t>
        </is>
      </c>
      <c r="E66" t="inlineStr">
        <is>
          <t>Sim</t>
        </is>
      </c>
      <c r="F66" t="inlineStr">
        <is>
          <t>Sim</t>
        </is>
      </c>
      <c r="G66" t="inlineStr">
        <is>
          <t>Sim</t>
        </is>
      </c>
      <c r="H66" t="inlineStr">
        <is>
          <t>Sim</t>
        </is>
      </c>
      <c r="I66" t="inlineStr">
        <is>
          <t>Sim</t>
        </is>
      </c>
      <c r="J66" t="inlineStr">
        <is>
          <t>Não</t>
        </is>
      </c>
      <c r="K66" t="inlineStr">
        <is>
          <t>Sim</t>
        </is>
      </c>
      <c r="L66" t="inlineStr">
        <is>
          <t>Não</t>
        </is>
      </c>
      <c r="M66" t="inlineStr">
        <is>
          <t>Sim</t>
        </is>
      </c>
      <c r="N66" t="inlineStr">
        <is>
          <t>Sim</t>
        </is>
      </c>
      <c r="O66" t="inlineStr">
        <is>
          <t>Sim</t>
        </is>
      </c>
      <c r="P66" t="inlineStr">
        <is>
          <t>Sim</t>
        </is>
      </c>
      <c r="Q66" t="inlineStr">
        <is>
          <t>Sim</t>
        </is>
      </c>
      <c r="R66" t="inlineStr">
        <is>
          <t>Não</t>
        </is>
      </c>
      <c r="S66" t="inlineStr">
        <is>
          <t>Sim</t>
        </is>
      </c>
      <c r="T66" t="inlineStr">
        <is>
          <t>Não</t>
        </is>
      </c>
      <c r="U66" t="inlineStr">
        <is>
          <t>Sim</t>
        </is>
      </c>
      <c r="V66" t="inlineStr">
        <is>
          <t>Sim</t>
        </is>
      </c>
      <c r="W66" t="inlineStr">
        <is>
          <t>Sim</t>
        </is>
      </c>
      <c r="X66" t="inlineStr">
        <is>
          <t>Sim</t>
        </is>
      </c>
      <c r="Y66" t="inlineStr">
        <is>
          <t>Sim</t>
        </is>
      </c>
      <c r="Z66" t="inlineStr">
        <is>
          <t>Não</t>
        </is>
      </c>
      <c r="AA66" t="inlineStr">
        <is>
          <t>Sim</t>
        </is>
      </c>
      <c r="AB66" t="inlineStr">
        <is>
          <t>Não</t>
        </is>
      </c>
      <c r="AC66" t="inlineStr">
        <is>
          <t>Sim</t>
        </is>
      </c>
      <c r="AD66" t="inlineStr">
        <is>
          <t>Sim</t>
        </is>
      </c>
      <c r="AE66" t="inlineStr">
        <is>
          <t>Sim</t>
        </is>
      </c>
      <c r="AF66" t="inlineStr">
        <is>
          <t>Não</t>
        </is>
      </c>
      <c r="AG66" t="inlineStr">
        <is>
          <t>Sim</t>
        </is>
      </c>
    </row>
    <row r="67">
      <c r="A67" t="inlineStr">
        <is>
          <t>P7.9</t>
        </is>
      </c>
      <c r="B67" t="inlineStr">
        <is>
          <t>7</t>
        </is>
      </c>
      <c r="C67" t="inlineStr">
        <is>
          <t>Sim</t>
        </is>
      </c>
      <c r="D67" t="inlineStr">
        <is>
          <t>Sim</t>
        </is>
      </c>
      <c r="E67" t="inlineStr">
        <is>
          <t>Sim</t>
        </is>
      </c>
      <c r="F67" t="inlineStr">
        <is>
          <t>Sim</t>
        </is>
      </c>
      <c r="G67" t="inlineStr">
        <is>
          <t>Sim</t>
        </is>
      </c>
      <c r="H67" t="inlineStr">
        <is>
          <t>Sim</t>
        </is>
      </c>
      <c r="I67" t="inlineStr">
        <is>
          <t>Não</t>
        </is>
      </c>
      <c r="J67" t="inlineStr">
        <is>
          <t>Não</t>
        </is>
      </c>
      <c r="K67" t="inlineStr">
        <is>
          <t>Sim</t>
        </is>
      </c>
      <c r="L67" t="inlineStr">
        <is>
          <t>Não</t>
        </is>
      </c>
      <c r="M67" t="inlineStr">
        <is>
          <t>Sim</t>
        </is>
      </c>
      <c r="N67" t="inlineStr">
        <is>
          <t>Sim</t>
        </is>
      </c>
      <c r="O67" t="inlineStr">
        <is>
          <t>Sim</t>
        </is>
      </c>
      <c r="P67" t="inlineStr">
        <is>
          <t>Sim</t>
        </is>
      </c>
      <c r="Q67" t="inlineStr">
        <is>
          <t>Sim</t>
        </is>
      </c>
      <c r="R67" t="inlineStr">
        <is>
          <t>Não</t>
        </is>
      </c>
      <c r="S67" t="inlineStr">
        <is>
          <t>Sim</t>
        </is>
      </c>
      <c r="T67" t="inlineStr">
        <is>
          <t>Não</t>
        </is>
      </c>
      <c r="U67" t="inlineStr">
        <is>
          <t>Sim</t>
        </is>
      </c>
      <c r="V67" t="inlineStr">
        <is>
          <t>Sim</t>
        </is>
      </c>
      <c r="W67" t="inlineStr">
        <is>
          <t>Sim</t>
        </is>
      </c>
      <c r="X67" t="inlineStr">
        <is>
          <t>Sim</t>
        </is>
      </c>
      <c r="Y67" t="inlineStr">
        <is>
          <t>Sim</t>
        </is>
      </c>
      <c r="Z67" t="inlineStr">
        <is>
          <t>Não</t>
        </is>
      </c>
      <c r="AA67" t="inlineStr">
        <is>
          <t>Sim</t>
        </is>
      </c>
      <c r="AB67" t="inlineStr">
        <is>
          <t>Não</t>
        </is>
      </c>
      <c r="AC67" t="inlineStr">
        <is>
          <t>Sim</t>
        </is>
      </c>
      <c r="AD67" t="inlineStr">
        <is>
          <t>Sim</t>
        </is>
      </c>
      <c r="AE67" t="inlineStr">
        <is>
          <t>Sim</t>
        </is>
      </c>
      <c r="AF67" t="inlineStr">
        <is>
          <t>Não</t>
        </is>
      </c>
      <c r="AG67" t="inlineStr">
        <is>
          <t>Sim</t>
        </is>
      </c>
    </row>
    <row r="68">
      <c r="A68" t="inlineStr">
        <is>
          <t>P7.10</t>
        </is>
      </c>
      <c r="B68" t="inlineStr">
        <is>
          <t>7</t>
        </is>
      </c>
      <c r="C68" t="inlineStr">
        <is>
          <t>Sim</t>
        </is>
      </c>
      <c r="D68" t="inlineStr">
        <is>
          <t>Sim</t>
        </is>
      </c>
      <c r="E68" t="inlineStr">
        <is>
          <t>Sim</t>
        </is>
      </c>
      <c r="F68" t="inlineStr">
        <is>
          <t>Sim</t>
        </is>
      </c>
      <c r="G68" t="inlineStr">
        <is>
          <t>Sim</t>
        </is>
      </c>
      <c r="H68" t="inlineStr">
        <is>
          <t>Sim</t>
        </is>
      </c>
      <c r="I68" t="inlineStr">
        <is>
          <t>Não</t>
        </is>
      </c>
      <c r="J68" t="inlineStr">
        <is>
          <t>Não</t>
        </is>
      </c>
      <c r="K68" t="inlineStr">
        <is>
          <t>Não</t>
        </is>
      </c>
      <c r="L68" t="inlineStr">
        <is>
          <t>Não</t>
        </is>
      </c>
      <c r="M68" t="inlineStr">
        <is>
          <t>Sim</t>
        </is>
      </c>
      <c r="N68" t="inlineStr">
        <is>
          <t>Sim</t>
        </is>
      </c>
      <c r="O68" t="inlineStr">
        <is>
          <t>Sim</t>
        </is>
      </c>
      <c r="P68" t="inlineStr">
        <is>
          <t>Sim</t>
        </is>
      </c>
      <c r="Q68" t="inlineStr">
        <is>
          <t>Sim</t>
        </is>
      </c>
      <c r="R68" t="inlineStr">
        <is>
          <t>Não</t>
        </is>
      </c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Sim</t>
        </is>
      </c>
      <c r="W68" t="inlineStr">
        <is>
          <t>Sim</t>
        </is>
      </c>
      <c r="X68" t="inlineStr">
        <is>
          <t>Sim</t>
        </is>
      </c>
      <c r="Y68" t="inlineStr">
        <is>
          <t>Sim</t>
        </is>
      </c>
      <c r="Z68" t="inlineStr">
        <is>
          <t>Não</t>
        </is>
      </c>
      <c r="AA68" t="inlineStr">
        <is>
          <t>Sim</t>
        </is>
      </c>
      <c r="AB68" t="inlineStr">
        <is>
          <t>Não</t>
        </is>
      </c>
      <c r="AC68" t="inlineStr">
        <is>
          <t>Sim</t>
        </is>
      </c>
      <c r="AD68" t="inlineStr">
        <is>
          <t>Sim</t>
        </is>
      </c>
      <c r="AE68" t="inlineStr">
        <is>
          <t>Sim</t>
        </is>
      </c>
      <c r="AF68" t="inlineStr">
        <is>
          <t>Não</t>
        </is>
      </c>
      <c r="AG68" t="inlineStr">
        <is>
          <t>Sim</t>
        </is>
      </c>
    </row>
    <row r="69">
      <c r="A69" t="inlineStr">
        <is>
          <t>P7.11</t>
        </is>
      </c>
      <c r="B69" t="inlineStr">
        <is>
          <t>7</t>
        </is>
      </c>
      <c r="C69" t="inlineStr">
        <is>
          <t>Não</t>
        </is>
      </c>
      <c r="D69" t="inlineStr">
        <is>
          <t>Não</t>
        </is>
      </c>
      <c r="E69" t="inlineStr">
        <is>
          <t>Não</t>
        </is>
      </c>
      <c r="F69" t="inlineStr">
        <is>
          <t>Não</t>
        </is>
      </c>
      <c r="G69" t="inlineStr">
        <is>
          <t>Não</t>
        </is>
      </c>
      <c r="H69" t="inlineStr">
        <is>
          <t>Não</t>
        </is>
      </c>
      <c r="I69" t="inlineStr">
        <is>
          <t>Não</t>
        </is>
      </c>
      <c r="J69" t="inlineStr">
        <is>
          <t>Não</t>
        </is>
      </c>
      <c r="K69" t="inlineStr">
        <is>
          <t>Não</t>
        </is>
      </c>
      <c r="L69" t="inlineStr">
        <is>
          <t>Não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Não</t>
        </is>
      </c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Não</t>
        </is>
      </c>
      <c r="U69" t="inlineStr">
        <is>
          <t>Não</t>
        </is>
      </c>
      <c r="V69" t="inlineStr">
        <is>
          <t>Não</t>
        </is>
      </c>
      <c r="W69" t="inlineStr">
        <is>
          <t>Não</t>
        </is>
      </c>
      <c r="X69" t="inlineStr">
        <is>
          <t>Não</t>
        </is>
      </c>
      <c r="Y69" t="inlineStr">
        <is>
          <t>Sim</t>
        </is>
      </c>
      <c r="Z69" t="inlineStr">
        <is>
          <t>Não</t>
        </is>
      </c>
      <c r="AA69" t="inlineStr">
        <is>
          <t>Não</t>
        </is>
      </c>
      <c r="AB69" t="inlineStr">
        <is>
          <t>Não</t>
        </is>
      </c>
      <c r="AC69" t="inlineStr">
        <is>
          <t>Não</t>
        </is>
      </c>
      <c r="AD69" t="inlineStr">
        <is>
          <t>Não</t>
        </is>
      </c>
      <c r="AE69" t="inlineStr">
        <is>
          <t>Não</t>
        </is>
      </c>
      <c r="AF69" t="inlineStr">
        <is>
          <t>Não</t>
        </is>
      </c>
      <c r="AG69" t="inlineStr">
        <is>
          <t>Não</t>
        </is>
      </c>
    </row>
    <row r="70">
      <c r="A70" t="inlineStr">
        <is>
          <t>P7.12</t>
        </is>
      </c>
      <c r="B70" t="inlineStr">
        <is>
          <t>7</t>
        </is>
      </c>
      <c r="C70" t="inlineStr">
        <is>
          <t>Não</t>
        </is>
      </c>
      <c r="D70" t="inlineStr">
        <is>
          <t>Não</t>
        </is>
      </c>
      <c r="E70" t="inlineStr">
        <is>
          <t>Não</t>
        </is>
      </c>
      <c r="F70" t="inlineStr">
        <is>
          <t>Não</t>
        </is>
      </c>
      <c r="G70" t="inlineStr">
        <is>
          <t>Não</t>
        </is>
      </c>
      <c r="H70" t="inlineStr">
        <is>
          <t>Não</t>
        </is>
      </c>
      <c r="I70" t="inlineStr">
        <is>
          <t>Não</t>
        </is>
      </c>
      <c r="J70" t="inlineStr">
        <is>
          <t>Não</t>
        </is>
      </c>
      <c r="K70" t="inlineStr">
        <is>
          <t>Não</t>
        </is>
      </c>
      <c r="L70" t="inlineStr">
        <is>
          <t>Não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Não</t>
        </is>
      </c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Não</t>
        </is>
      </c>
      <c r="U70" t="inlineStr">
        <is>
          <t>Não</t>
        </is>
      </c>
      <c r="V70" t="inlineStr">
        <is>
          <t>Não</t>
        </is>
      </c>
      <c r="W70" t="inlineStr">
        <is>
          <t>Não</t>
        </is>
      </c>
      <c r="X70" t="inlineStr">
        <is>
          <t>Não</t>
        </is>
      </c>
      <c r="Y70" t="inlineStr">
        <is>
          <t>Sim</t>
        </is>
      </c>
      <c r="Z70" t="inlineStr">
        <is>
          <t>Não</t>
        </is>
      </c>
      <c r="AA70" t="inlineStr">
        <is>
          <t>Não</t>
        </is>
      </c>
      <c r="AB70" t="inlineStr">
        <is>
          <t>Não</t>
        </is>
      </c>
      <c r="AC70" t="inlineStr">
        <is>
          <t>Não</t>
        </is>
      </c>
      <c r="AD70" t="inlineStr">
        <is>
          <t>Não</t>
        </is>
      </c>
      <c r="AE70" t="inlineStr">
        <is>
          <t>Não</t>
        </is>
      </c>
      <c r="AF70" t="inlineStr">
        <is>
          <t>Não</t>
        </is>
      </c>
      <c r="AG70" t="inlineStr">
        <is>
          <t>Não</t>
        </is>
      </c>
    </row>
    <row r="71">
      <c r="A71" t="inlineStr">
        <is>
          <t>P7.13</t>
        </is>
      </c>
      <c r="B71" t="inlineStr">
        <is>
          <t>7</t>
        </is>
      </c>
      <c r="C71" t="inlineStr">
        <is>
          <t>Não</t>
        </is>
      </c>
      <c r="D71" t="inlineStr">
        <is>
          <t>Não</t>
        </is>
      </c>
      <c r="E71" t="inlineStr">
        <is>
          <t>Não</t>
        </is>
      </c>
      <c r="F71" t="inlineStr">
        <is>
          <t>Não</t>
        </is>
      </c>
      <c r="G71" t="inlineStr">
        <is>
          <t>Não</t>
        </is>
      </c>
      <c r="H71" t="inlineStr">
        <is>
          <t>Não</t>
        </is>
      </c>
      <c r="I71" t="inlineStr">
        <is>
          <t>Não</t>
        </is>
      </c>
      <c r="J71" t="inlineStr">
        <is>
          <t>Não</t>
        </is>
      </c>
      <c r="K71" t="inlineStr">
        <is>
          <t>Não</t>
        </is>
      </c>
      <c r="L71" t="inlineStr">
        <is>
          <t>Não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Não</t>
        </is>
      </c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Não</t>
        </is>
      </c>
      <c r="U71" t="inlineStr">
        <is>
          <t>Não</t>
        </is>
      </c>
      <c r="V71" t="inlineStr">
        <is>
          <t>Não</t>
        </is>
      </c>
      <c r="W71" t="inlineStr">
        <is>
          <t>Não</t>
        </is>
      </c>
      <c r="X71" t="inlineStr">
        <is>
          <t>Não</t>
        </is>
      </c>
      <c r="Y71" t="inlineStr">
        <is>
          <t>Sim</t>
        </is>
      </c>
      <c r="Z71" t="inlineStr">
        <is>
          <t>Não</t>
        </is>
      </c>
      <c r="AA71" t="inlineStr">
        <is>
          <t>Não</t>
        </is>
      </c>
      <c r="AB71" t="inlineStr">
        <is>
          <t>Não</t>
        </is>
      </c>
      <c r="AC71" t="inlineStr">
        <is>
          <t>Não</t>
        </is>
      </c>
      <c r="AD71" t="inlineStr">
        <is>
          <t>Não</t>
        </is>
      </c>
      <c r="AE71" t="inlineStr">
        <is>
          <t>Não</t>
        </is>
      </c>
      <c r="AF71" t="inlineStr">
        <is>
          <t>Não</t>
        </is>
      </c>
      <c r="AG71" t="inlineStr">
        <is>
          <t>Não</t>
        </is>
      </c>
    </row>
    <row r="72">
      <c r="A72" t="inlineStr">
        <is>
          <t>P7.14</t>
        </is>
      </c>
      <c r="B72" t="inlineStr">
        <is>
          <t>7</t>
        </is>
      </c>
      <c r="C72" t="inlineStr">
        <is>
          <t>Não</t>
        </is>
      </c>
      <c r="D72" t="inlineStr">
        <is>
          <t>Não</t>
        </is>
      </c>
      <c r="E72" t="inlineStr">
        <is>
          <t>Não</t>
        </is>
      </c>
      <c r="F72" t="inlineStr">
        <is>
          <t>Não</t>
        </is>
      </c>
      <c r="G72" t="inlineStr">
        <is>
          <t>Não</t>
        </is>
      </c>
      <c r="H72" t="inlineStr">
        <is>
          <t>Não</t>
        </is>
      </c>
      <c r="I72" t="inlineStr">
        <is>
          <t>Não</t>
        </is>
      </c>
      <c r="J72" t="inlineStr">
        <is>
          <t>Não</t>
        </is>
      </c>
      <c r="K72" t="inlineStr">
        <is>
          <t>Não</t>
        </is>
      </c>
      <c r="L72" t="inlineStr">
        <is>
          <t>Não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Não</t>
        </is>
      </c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Não</t>
        </is>
      </c>
      <c r="W72" t="inlineStr">
        <is>
          <t>Não</t>
        </is>
      </c>
      <c r="X72" t="inlineStr">
        <is>
          <t>Não</t>
        </is>
      </c>
      <c r="Y72" t="inlineStr">
        <is>
          <t>Sim</t>
        </is>
      </c>
      <c r="Z72" t="inlineStr">
        <is>
          <t>Não</t>
        </is>
      </c>
      <c r="AA72" t="inlineStr">
        <is>
          <t>Não</t>
        </is>
      </c>
      <c r="AB72" t="inlineStr">
        <is>
          <t>Não</t>
        </is>
      </c>
      <c r="AC72" t="inlineStr">
        <is>
          <t>Não</t>
        </is>
      </c>
      <c r="AD72" t="inlineStr">
        <is>
          <t>Não</t>
        </is>
      </c>
      <c r="AE72" t="inlineStr">
        <is>
          <t>Não</t>
        </is>
      </c>
      <c r="AF72" t="inlineStr">
        <is>
          <t>Não</t>
        </is>
      </c>
      <c r="AG72" t="inlineStr">
        <is>
          <t>Não</t>
        </is>
      </c>
    </row>
    <row r="73">
      <c r="A73" t="inlineStr">
        <is>
          <t>C.1</t>
        </is>
      </c>
      <c r="B73" t="inlineStr">
        <is>
          <t>—</t>
        </is>
      </c>
      <c r="C73" t="inlineStr">
        <is>
          <t>(neutro)</t>
        </is>
      </c>
      <c r="D73" t="inlineStr">
        <is>
          <t>(neutro)</t>
        </is>
      </c>
      <c r="E73" t="inlineStr">
        <is>
          <t>(neutro)</t>
        </is>
      </c>
      <c r="F73" t="inlineStr">
        <is>
          <t>(neutro)</t>
        </is>
      </c>
      <c r="G73" t="inlineStr">
        <is>
          <t>(neutro)</t>
        </is>
      </c>
      <c r="H73" t="inlineStr">
        <is>
          <t>(neutro)</t>
        </is>
      </c>
      <c r="I73" t="inlineStr">
        <is>
          <t>(neutro)</t>
        </is>
      </c>
      <c r="J73" t="inlineStr">
        <is>
          <t>(neutro)</t>
        </is>
      </c>
      <c r="K73" t="inlineStr">
        <is>
          <t>(neutro)</t>
        </is>
      </c>
      <c r="L73" t="inlineStr">
        <is>
          <t>(neutro)</t>
        </is>
      </c>
      <c r="M73" t="inlineStr">
        <is>
          <t>(neutro)</t>
        </is>
      </c>
      <c r="N73" t="inlineStr">
        <is>
          <t>(neutro)</t>
        </is>
      </c>
      <c r="O73" t="inlineStr">
        <is>
          <t>(neutro)</t>
        </is>
      </c>
      <c r="P73" t="inlineStr">
        <is>
          <t>(neutro)</t>
        </is>
      </c>
      <c r="Q73" t="inlineStr">
        <is>
          <t>(neutro)</t>
        </is>
      </c>
      <c r="R73" t="inlineStr">
        <is>
          <t>(neutro)</t>
        </is>
      </c>
      <c r="S73" t="inlineStr">
        <is>
          <t>(neutro)</t>
        </is>
      </c>
      <c r="T73" t="inlineStr">
        <is>
          <t>(neutro)</t>
        </is>
      </c>
      <c r="U73" t="inlineStr">
        <is>
          <t>(neutro)</t>
        </is>
      </c>
      <c r="V73" t="inlineStr">
        <is>
          <t>(neutro)</t>
        </is>
      </c>
      <c r="W73" t="inlineStr">
        <is>
          <t>(neutro)</t>
        </is>
      </c>
      <c r="X73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Y73" t="inlineStr">
        <is>
          <t>(neutro)</t>
        </is>
      </c>
      <c r="Z73" t="inlineStr">
        <is>
          <t>(neutro)</t>
        </is>
      </c>
      <c r="AA73" t="inlineStr">
        <is>
          <t>(neutro)</t>
        </is>
      </c>
      <c r="AB73" t="inlineStr">
        <is>
          <t>(neutro)</t>
        </is>
      </c>
      <c r="AC73" t="inlineStr">
        <is>
          <t>(neutro)</t>
        </is>
      </c>
      <c r="AD73" t="inlineStr">
        <is>
          <t>(neutro)</t>
        </is>
      </c>
      <c r="AE73" t="inlineStr">
        <is>
          <t>(neutro)</t>
        </is>
      </c>
      <c r="AF73" t="inlineStr">
        <is>
          <t>(neutro)</t>
        </is>
      </c>
      <c r="AG73" t="inlineStr">
        <is>
          <t>(neutro)</t>
        </is>
      </c>
    </row>
    <row r="74">
      <c r="A74" t="inlineStr">
        <is>
          <t>C.2</t>
        </is>
      </c>
      <c r="B74" t="inlineStr">
        <is>
          <t>—</t>
        </is>
      </c>
      <c r="C74" t="inlineStr">
        <is>
          <t>(neutro)</t>
        </is>
      </c>
      <c r="D74" t="inlineStr">
        <is>
          <t>(neutro)</t>
        </is>
      </c>
      <c r="E74" t="inlineStr">
        <is>
          <t>(neutro)</t>
        </is>
      </c>
      <c r="F74" t="inlineStr">
        <is>
          <t>(neutro)</t>
        </is>
      </c>
      <c r="G74" t="inlineStr">
        <is>
          <t>(neutro)</t>
        </is>
      </c>
      <c r="H74" t="inlineStr">
        <is>
          <t>(neutro)</t>
        </is>
      </c>
      <c r="I74" t="inlineStr">
        <is>
          <t>(neutro)</t>
        </is>
      </c>
      <c r="J74" t="inlineStr">
        <is>
          <t>(neutro)</t>
        </is>
      </c>
      <c r="K74" t="inlineStr">
        <is>
          <t>(neutro)</t>
        </is>
      </c>
      <c r="L74" t="inlineStr">
        <is>
          <t>(neutro)</t>
        </is>
      </c>
      <c r="M74" t="inlineStr">
        <is>
          <t>(neutro)</t>
        </is>
      </c>
      <c r="N74" t="inlineStr">
        <is>
          <t>(neutro)</t>
        </is>
      </c>
      <c r="O74" t="inlineStr">
        <is>
          <t>(neutro)</t>
        </is>
      </c>
      <c r="P74" t="inlineStr">
        <is>
          <t>(neutro)</t>
        </is>
      </c>
      <c r="Q74" t="inlineStr">
        <is>
          <t>(neutro)</t>
        </is>
      </c>
      <c r="R74" t="inlineStr">
        <is>
          <t>(neutro)</t>
        </is>
      </c>
      <c r="S74" t="inlineStr">
        <is>
          <t>(neutro)</t>
        </is>
      </c>
      <c r="T74" t="inlineStr">
        <is>
          <t>(neutro)</t>
        </is>
      </c>
      <c r="U74" t="inlineStr">
        <is>
          <t>(neutro)</t>
        </is>
      </c>
      <c r="V74" t="inlineStr">
        <is>
          <t>(neutro)</t>
        </is>
      </c>
      <c r="W74" t="inlineStr">
        <is>
          <t>(neutro)</t>
        </is>
      </c>
      <c r="X74" t="inlineStr">
        <is>
          <t>autônoma</t>
        </is>
      </c>
      <c r="Y74" t="inlineStr">
        <is>
          <t>(neutro)</t>
        </is>
      </c>
      <c r="Z74" t="inlineStr">
        <is>
          <t>(neutro)</t>
        </is>
      </c>
      <c r="AA74" t="inlineStr">
        <is>
          <t>(neutro)</t>
        </is>
      </c>
      <c r="AB74" t="inlineStr">
        <is>
          <t>(neutro)</t>
        </is>
      </c>
      <c r="AC74" t="inlineStr">
        <is>
          <t>(neutro)</t>
        </is>
      </c>
      <c r="AD74" t="inlineStr">
        <is>
          <t>(neutro)</t>
        </is>
      </c>
      <c r="AE74" t="inlineStr">
        <is>
          <t>(neutro)</t>
        </is>
      </c>
      <c r="AF74" t="inlineStr">
        <is>
          <t>(neutro)</t>
        </is>
      </c>
      <c r="AG74" t="inlineStr">
        <is>
          <t>(neutro)</t>
        </is>
      </c>
    </row>
    <row r="75">
      <c r="A75" t="inlineStr">
        <is>
          <t>C.3</t>
        </is>
      </c>
      <c r="B75" t="inlineStr">
        <is>
          <t>—</t>
        </is>
      </c>
      <c r="C75" t="inlineStr">
        <is>
          <t>(neutro)</t>
        </is>
      </c>
      <c r="D75" t="inlineStr">
        <is>
          <t>(neutro)</t>
        </is>
      </c>
      <c r="E75" t="inlineStr">
        <is>
          <t>(neutro)</t>
        </is>
      </c>
      <c r="F75" t="inlineStr">
        <is>
          <t>(neutro)</t>
        </is>
      </c>
      <c r="G75" t="inlineStr">
        <is>
          <t>(neutro)</t>
        </is>
      </c>
      <c r="H75" t="inlineStr">
        <is>
          <t>(neutro)</t>
        </is>
      </c>
      <c r="I75" t="inlineStr">
        <is>
          <t>(neutro)</t>
        </is>
      </c>
      <c r="J75" t="inlineStr">
        <is>
          <t>(neutro)</t>
        </is>
      </c>
      <c r="K75" t="inlineStr">
        <is>
          <t>(neutro)</t>
        </is>
      </c>
      <c r="L75" t="inlineStr">
        <is>
          <t>(neutro)</t>
        </is>
      </c>
      <c r="M75" t="inlineStr">
        <is>
          <t>(neutro)</t>
        </is>
      </c>
      <c r="N75" t="inlineStr">
        <is>
          <t>(neutro)</t>
        </is>
      </c>
      <c r="O75" t="inlineStr">
        <is>
          <t>(neutro)</t>
        </is>
      </c>
      <c r="P75" t="inlineStr">
        <is>
          <t>(neutro)</t>
        </is>
      </c>
      <c r="Q75" t="inlineStr">
        <is>
          <t>(neutro)</t>
        </is>
      </c>
      <c r="R75" t="inlineStr">
        <is>
          <t>(neutro)</t>
        </is>
      </c>
      <c r="S75" t="inlineStr">
        <is>
          <t>(neutro)</t>
        </is>
      </c>
      <c r="T75" t="inlineStr">
        <is>
          <t>(neutro)</t>
        </is>
      </c>
      <c r="U75" t="inlineStr">
        <is>
          <t>(neutro)</t>
        </is>
      </c>
      <c r="V75" t="inlineStr">
        <is>
          <t>(neutro)</t>
        </is>
      </c>
      <c r="W75" t="inlineStr">
        <is>
          <t>(neutro)</t>
        </is>
      </c>
      <c r="X75" t="inlineStr">
        <is>
          <t>identificáveis</t>
        </is>
      </c>
      <c r="Y75" t="inlineStr">
        <is>
          <t>(neutro)</t>
        </is>
      </c>
      <c r="Z75" t="inlineStr">
        <is>
          <t>(neutro)</t>
        </is>
      </c>
      <c r="AA75" t="inlineStr">
        <is>
          <t>(neutro)</t>
        </is>
      </c>
      <c r="AB75" t="inlineStr">
        <is>
          <t>(neutro)</t>
        </is>
      </c>
      <c r="AC75" t="inlineStr">
        <is>
          <t>(neutro)</t>
        </is>
      </c>
      <c r="AD75" t="inlineStr">
        <is>
          <t>(neutro)</t>
        </is>
      </c>
      <c r="AE75" t="inlineStr">
        <is>
          <t>(neutro)</t>
        </is>
      </c>
      <c r="AF75" t="inlineStr">
        <is>
          <t>(neutro)</t>
        </is>
      </c>
      <c r="AG75" t="inlineStr">
        <is>
          <t>(neutro)</t>
        </is>
      </c>
    </row>
    <row r="76">
      <c r="A76" t="inlineStr">
        <is>
          <t>C.4</t>
        </is>
      </c>
      <c r="B76" t="inlineStr">
        <is>
          <t>—</t>
        </is>
      </c>
      <c r="C76" t="inlineStr">
        <is>
          <t>(neutro)</t>
        </is>
      </c>
      <c r="D76" t="inlineStr">
        <is>
          <t>(neutro)</t>
        </is>
      </c>
      <c r="E76" t="inlineStr">
        <is>
          <t>(neutro)</t>
        </is>
      </c>
      <c r="F76" t="inlineStr">
        <is>
          <t>(neutro)</t>
        </is>
      </c>
      <c r="G76" t="inlineStr">
        <is>
          <t>(neutro)</t>
        </is>
      </c>
      <c r="H76" t="inlineStr">
        <is>
          <t>(neutro)</t>
        </is>
      </c>
      <c r="I76" t="inlineStr">
        <is>
          <t>(neutro)</t>
        </is>
      </c>
      <c r="J76" t="inlineStr">
        <is>
          <t>(neutro)</t>
        </is>
      </c>
      <c r="K76" t="inlineStr">
        <is>
          <t>(neutro)</t>
        </is>
      </c>
      <c r="L76" t="inlineStr">
        <is>
          <t>(neutro)</t>
        </is>
      </c>
      <c r="M76" t="inlineStr">
        <is>
          <t>(neutro)</t>
        </is>
      </c>
      <c r="N76" t="inlineStr">
        <is>
          <t>(neutro)</t>
        </is>
      </c>
      <c r="O76" t="inlineStr">
        <is>
          <t>(neutro)</t>
        </is>
      </c>
      <c r="P76" t="inlineStr">
        <is>
          <t>(neutro)</t>
        </is>
      </c>
      <c r="Q76" t="inlineStr">
        <is>
          <t>(neutro)</t>
        </is>
      </c>
      <c r="R76" t="inlineStr">
        <is>
          <t>(neutro)</t>
        </is>
      </c>
      <c r="S76" t="inlineStr">
        <is>
          <t>(neutro)</t>
        </is>
      </c>
      <c r="T76" t="inlineStr">
        <is>
          <t>(neutro)</t>
        </is>
      </c>
      <c r="U76" t="inlineStr">
        <is>
          <t>(neutro)</t>
        </is>
      </c>
      <c r="V76" t="inlineStr">
        <is>
          <t>(neutro)</t>
        </is>
      </c>
      <c r="W76" t="inlineStr">
        <is>
          <t>(neutro)</t>
        </is>
      </c>
      <c r="X76" t="inlineStr">
        <is>
          <t>999999999</t>
        </is>
      </c>
      <c r="Y76" t="inlineStr">
        <is>
          <t>(neutro)</t>
        </is>
      </c>
      <c r="Z76" t="inlineStr">
        <is>
          <t>(neutro)</t>
        </is>
      </c>
      <c r="AA76" t="inlineStr">
        <is>
          <t>(neutro)</t>
        </is>
      </c>
      <c r="AB76" t="inlineStr">
        <is>
          <t>(neutro)</t>
        </is>
      </c>
      <c r="AC76" t="inlineStr">
        <is>
          <t>(neutro)</t>
        </is>
      </c>
      <c r="AD76" t="inlineStr">
        <is>
          <t>(neutro)</t>
        </is>
      </c>
      <c r="AE76" t="inlineStr">
        <is>
          <t>(neutro)</t>
        </is>
      </c>
      <c r="AF76" t="inlineStr">
        <is>
          <t>(neutro)</t>
        </is>
      </c>
      <c r="AG76" t="inlineStr">
        <is>
          <t>(neutro)</t>
        </is>
      </c>
    </row>
    <row r="77">
      <c r="A77" t="inlineStr">
        <is>
          <t>C.5</t>
        </is>
      </c>
      <c r="B77" t="inlineStr">
        <is>
          <t>—</t>
        </is>
      </c>
      <c r="C77" t="inlineStr">
        <is>
          <t>(neutro)</t>
        </is>
      </c>
      <c r="D77" t="inlineStr">
        <is>
          <t>(neutro)</t>
        </is>
      </c>
      <c r="E77" t="inlineStr">
        <is>
          <t>(neutro)</t>
        </is>
      </c>
      <c r="F77" t="inlineStr">
        <is>
          <t>(neutro)</t>
        </is>
      </c>
      <c r="G77" t="inlineStr">
        <is>
          <t>(neutro)</t>
        </is>
      </c>
      <c r="H77" t="inlineStr">
        <is>
          <t>(neutro)</t>
        </is>
      </c>
      <c r="I77" t="inlineStr">
        <is>
          <t>(neutro)</t>
        </is>
      </c>
      <c r="J77" t="inlineStr">
        <is>
          <t>(neutro)</t>
        </is>
      </c>
      <c r="K77" t="inlineStr">
        <is>
          <t>(neutro)</t>
        </is>
      </c>
      <c r="L77" t="inlineStr">
        <is>
          <t>(neutro)</t>
        </is>
      </c>
      <c r="M77" t="inlineStr">
        <is>
          <t>(neutro)</t>
        </is>
      </c>
      <c r="N77" t="inlineStr">
        <is>
          <t>(neutro)</t>
        </is>
      </c>
      <c r="O77" t="inlineStr">
        <is>
          <t>(neutro)</t>
        </is>
      </c>
      <c r="P77" t="inlineStr">
        <is>
          <t>(neutro)</t>
        </is>
      </c>
      <c r="Q77" t="inlineStr">
        <is>
          <t>(neutro)</t>
        </is>
      </c>
      <c r="R77" t="inlineStr">
        <is>
          <t>(neutro)</t>
        </is>
      </c>
      <c r="S77" t="inlineStr">
        <is>
          <t>(neutro)</t>
        </is>
      </c>
      <c r="T77" t="inlineStr">
        <is>
          <t>(neutro)</t>
        </is>
      </c>
      <c r="U77" t="inlineStr">
        <is>
          <t>(neutro)</t>
        </is>
      </c>
      <c r="V77" t="inlineStr">
        <is>
          <t>(neutro)</t>
        </is>
      </c>
      <c r="W77" t="inlineStr">
        <is>
          <t>(neutro)</t>
        </is>
      </c>
      <c r="X77" t="inlineStr">
        <is>
          <t>após o acesso, pelos próprios pesquisadores</t>
        </is>
      </c>
      <c r="Y77" t="inlineStr">
        <is>
          <t>(neutro)</t>
        </is>
      </c>
      <c r="Z77" t="inlineStr">
        <is>
          <t>(neutro)</t>
        </is>
      </c>
      <c r="AA77" t="inlineStr">
        <is>
          <t>(neutro)</t>
        </is>
      </c>
      <c r="AB77" t="inlineStr">
        <is>
          <t>(neutro)</t>
        </is>
      </c>
      <c r="AC77" t="inlineStr">
        <is>
          <t>(neutro)</t>
        </is>
      </c>
      <c r="AD77" t="inlineStr">
        <is>
          <t>(neutro)</t>
        </is>
      </c>
      <c r="AE77" t="inlineStr">
        <is>
          <t>(neutro)</t>
        </is>
      </c>
      <c r="AF77" t="inlineStr">
        <is>
          <t>(neutro)</t>
        </is>
      </c>
      <c r="AG77" t="inlineStr">
        <is>
          <t>(neutro)</t>
        </is>
      </c>
    </row>
    <row r="78">
      <c r="A78" t="inlineStr">
        <is>
          <t>C.6</t>
        </is>
      </c>
      <c r="B78" t="inlineStr">
        <is>
          <t>—</t>
        </is>
      </c>
      <c r="C78" t="inlineStr">
        <is>
          <t>(neutro)</t>
        </is>
      </c>
      <c r="D78" t="inlineStr">
        <is>
          <t>(neutro)</t>
        </is>
      </c>
      <c r="E78" t="inlineStr">
        <is>
          <t>(neutro)</t>
        </is>
      </c>
      <c r="F78" t="inlineStr">
        <is>
          <t>(neutro)</t>
        </is>
      </c>
      <c r="G78" t="inlineStr">
        <is>
          <t>(neutro)</t>
        </is>
      </c>
      <c r="H78" t="inlineStr">
        <is>
          <t>(neutro)</t>
        </is>
      </c>
      <c r="I78" t="inlineStr">
        <is>
          <t>(neutro)</t>
        </is>
      </c>
      <c r="J78" t="inlineStr">
        <is>
          <t>(neutro)</t>
        </is>
      </c>
      <c r="K78" t="inlineStr">
        <is>
          <t>(neutro)</t>
        </is>
      </c>
      <c r="L78" t="inlineStr">
        <is>
          <t>(neutro)</t>
        </is>
      </c>
      <c r="M78" t="inlineStr">
        <is>
          <t>(neutro)</t>
        </is>
      </c>
      <c r="N78" t="inlineStr">
        <is>
          <t>(neutro)</t>
        </is>
      </c>
      <c r="O78" t="inlineStr">
        <is>
          <t>(neutro)</t>
        </is>
      </c>
      <c r="P78" t="inlineStr">
        <is>
          <t>(neutro)</t>
        </is>
      </c>
      <c r="Q78" t="inlineStr">
        <is>
          <t>(neutro)</t>
        </is>
      </c>
      <c r="R78" t="inlineStr">
        <is>
          <t>(neutro)</t>
        </is>
      </c>
      <c r="S78" t="inlineStr">
        <is>
          <t>(neutro)</t>
        </is>
      </c>
      <c r="T78" t="inlineStr">
        <is>
          <t>(neutro)</t>
        </is>
      </c>
      <c r="U78" t="inlineStr">
        <is>
          <t>(neutro)</t>
        </is>
      </c>
      <c r="V78" t="inlineStr">
        <is>
          <t>(neutro)</t>
        </is>
      </c>
      <c r="W78" t="inlineStr">
        <is>
          <t>(neutro)</t>
        </is>
      </c>
      <c r="X78" t="inlineStr">
        <is>
          <t>objeto de desenvolvimento (treinamento de modelo)</t>
        </is>
      </c>
      <c r="Y78" t="inlineStr">
        <is>
          <t>(neutro)</t>
        </is>
      </c>
      <c r="Z78" t="inlineStr">
        <is>
          <t>(neutro)</t>
        </is>
      </c>
      <c r="AA78" t="inlineStr">
        <is>
          <t>(neutro)</t>
        </is>
      </c>
      <c r="AB78" t="inlineStr">
        <is>
          <t>(neutro)</t>
        </is>
      </c>
      <c r="AC78" t="inlineStr">
        <is>
          <t>(neutro)</t>
        </is>
      </c>
      <c r="AD78" t="inlineStr">
        <is>
          <t>(neutro)</t>
        </is>
      </c>
      <c r="AE78" t="inlineStr">
        <is>
          <t>(neutro)</t>
        </is>
      </c>
      <c r="AF78" t="inlineStr">
        <is>
          <t>(neutro)</t>
        </is>
      </c>
      <c r="AG78" t="inlineStr">
        <is>
          <t>(neutro)</t>
        </is>
      </c>
    </row>
    <row r="79">
      <c r="A79" t="inlineStr">
        <is>
          <t>C.7</t>
        </is>
      </c>
      <c r="B79" t="inlineStr">
        <is>
          <t>—</t>
        </is>
      </c>
      <c r="C79" t="inlineStr">
        <is>
          <t>(neutro)</t>
        </is>
      </c>
      <c r="D79" t="inlineStr">
        <is>
          <t>(neutro)</t>
        </is>
      </c>
      <c r="E79" t="inlineStr">
        <is>
          <t>(neutro)</t>
        </is>
      </c>
      <c r="F79" t="inlineStr">
        <is>
          <t>(neutro)</t>
        </is>
      </c>
      <c r="G79" t="inlineStr">
        <is>
          <t>(neutro)</t>
        </is>
      </c>
      <c r="H79" t="inlineStr">
        <is>
          <t>(neutro)</t>
        </is>
      </c>
      <c r="I79" t="inlineStr">
        <is>
          <t>(neutro)</t>
        </is>
      </c>
      <c r="J79" t="inlineStr">
        <is>
          <t>(neutro)</t>
        </is>
      </c>
      <c r="K79" t="inlineStr">
        <is>
          <t>(neutro)</t>
        </is>
      </c>
      <c r="L79" t="inlineStr">
        <is>
          <t>(neutro)</t>
        </is>
      </c>
      <c r="M79" t="inlineStr">
        <is>
          <t>(neutro)</t>
        </is>
      </c>
      <c r="N79" t="inlineStr">
        <is>
          <t>(neutro)</t>
        </is>
      </c>
      <c r="O79" t="inlineStr">
        <is>
          <t>(neutro)</t>
        </is>
      </c>
      <c r="P79" t="inlineStr">
        <is>
          <t>(neutro)</t>
        </is>
      </c>
      <c r="Q79" t="inlineStr">
        <is>
          <t>(neutro)</t>
        </is>
      </c>
      <c r="R79" t="inlineStr">
        <is>
          <t>(neutro)</t>
        </is>
      </c>
      <c r="S79" t="inlineStr">
        <is>
          <t>(neutro)</t>
        </is>
      </c>
      <c r="T79" t="inlineStr">
        <is>
          <t>(neutro)</t>
        </is>
      </c>
      <c r="U79" t="inlineStr">
        <is>
          <t>(neutro)</t>
        </is>
      </c>
      <c r="V79" t="inlineStr">
        <is>
          <t>(neutro)</t>
        </is>
      </c>
      <c r="W79" t="inlineStr">
        <is>
          <t>(neutro)</t>
        </is>
      </c>
      <c r="X79" t="inlineStr">
        <is>
          <t>compartilhamento com terceiros</t>
        </is>
      </c>
      <c r="Y79" t="inlineStr">
        <is>
          <t>(neutro)</t>
        </is>
      </c>
      <c r="Z79" t="inlineStr">
        <is>
          <t>(neutro)</t>
        </is>
      </c>
      <c r="AA79" t="inlineStr">
        <is>
          <t>(neutro)</t>
        </is>
      </c>
      <c r="AB79" t="inlineStr">
        <is>
          <t>(neutro)</t>
        </is>
      </c>
      <c r="AC79" t="inlineStr">
        <is>
          <t>(neutro)</t>
        </is>
      </c>
      <c r="AD79" t="inlineStr">
        <is>
          <t>(neutro)</t>
        </is>
      </c>
      <c r="AE79" t="inlineStr">
        <is>
          <t>(neutro)</t>
        </is>
      </c>
      <c r="AF79" t="inlineStr">
        <is>
          <t>(neutro)</t>
        </is>
      </c>
      <c r="AG79" t="inlineStr">
        <is>
          <t>(neutro)</t>
        </is>
      </c>
    </row>
    <row r="80">
      <c r="A80" t="inlineStr">
        <is>
          <t>C.8</t>
        </is>
      </c>
      <c r="B80" t="inlineStr">
        <is>
          <t>—</t>
        </is>
      </c>
      <c r="C80" t="inlineStr">
        <is>
          <t>(neutro)</t>
        </is>
      </c>
      <c r="D80" t="inlineStr">
        <is>
          <t>(neutro)</t>
        </is>
      </c>
      <c r="E80" t="inlineStr">
        <is>
          <t>(neutro)</t>
        </is>
      </c>
      <c r="F80" t="inlineStr">
        <is>
          <t>(neutro)</t>
        </is>
      </c>
      <c r="G80" t="inlineStr">
        <is>
          <t>(neutro)</t>
        </is>
      </c>
      <c r="H80" t="inlineStr">
        <is>
          <t>(neutro)</t>
        </is>
      </c>
      <c r="I80" t="inlineStr">
        <is>
          <t>(neutro)</t>
        </is>
      </c>
      <c r="J80" t="inlineStr">
        <is>
          <t>(neutro)</t>
        </is>
      </c>
      <c r="K80" t="inlineStr">
        <is>
          <t>(neutro)</t>
        </is>
      </c>
      <c r="L80" t="inlineStr">
        <is>
          <t>(neutro)</t>
        </is>
      </c>
      <c r="M80" t="inlineStr">
        <is>
          <t>(neutro)</t>
        </is>
      </c>
      <c r="N80" t="inlineStr">
        <is>
          <t>(neutro)</t>
        </is>
      </c>
      <c r="O80" t="inlineStr">
        <is>
          <t>(neutro)</t>
        </is>
      </c>
      <c r="P80" t="inlineStr">
        <is>
          <t>(neutro)</t>
        </is>
      </c>
      <c r="Q80" t="inlineStr">
        <is>
          <t>(neutro)</t>
        </is>
      </c>
      <c r="R80" t="inlineStr">
        <is>
          <t>(neutro)</t>
        </is>
      </c>
      <c r="S80" t="inlineStr">
        <is>
          <t>(neutro)</t>
        </is>
      </c>
      <c r="T80" t="inlineStr">
        <is>
          <t>(neutro)</t>
        </is>
      </c>
      <c r="U80" t="inlineStr">
        <is>
          <t>(neutro)</t>
        </is>
      </c>
      <c r="V80" t="inlineStr">
        <is>
          <t>(neutro)</t>
        </is>
      </c>
      <c r="W80" t="inlineStr">
        <is>
          <t>(neutro)</t>
        </is>
      </c>
      <c r="X80" t="inlineStr">
        <is>
          <t>sim, outra forma (descrever)</t>
        </is>
      </c>
      <c r="Y80" t="inlineStr">
        <is>
          <t>(neutro)</t>
        </is>
      </c>
      <c r="Z80" t="inlineStr">
        <is>
          <t>(neutro)</t>
        </is>
      </c>
      <c r="AA80" t="inlineStr">
        <is>
          <t>(neutro)</t>
        </is>
      </c>
      <c r="AB80" t="inlineStr">
        <is>
          <t>(neutro)</t>
        </is>
      </c>
      <c r="AC80" t="inlineStr">
        <is>
          <t>(neutro)</t>
        </is>
      </c>
      <c r="AD80" t="inlineStr">
        <is>
          <t>(neutro)</t>
        </is>
      </c>
      <c r="AE80" t="inlineStr">
        <is>
          <t>(neutro)</t>
        </is>
      </c>
      <c r="AF80" t="inlineStr">
        <is>
          <t>(neutro)</t>
        </is>
      </c>
      <c r="AG80" t="inlineStr">
        <is>
          <t>(neutro)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2" t="inlineStr">
        <is>
          <t>item/bloco</t>
        </is>
      </c>
      <c r="B1" s="2" t="inlineStr">
        <is>
          <t>V1a</t>
        </is>
      </c>
      <c r="C1" s="2" t="inlineStr">
        <is>
          <t>V1b</t>
        </is>
      </c>
      <c r="D1" s="2" t="inlineStr">
        <is>
          <t>V1c</t>
        </is>
      </c>
      <c r="E1" s="2" t="inlineStr">
        <is>
          <t>V2a</t>
        </is>
      </c>
      <c r="F1" s="2" t="inlineStr">
        <is>
          <t>V2b</t>
        </is>
      </c>
      <c r="G1" s="2" t="inlineStr">
        <is>
          <t>V2c</t>
        </is>
      </c>
      <c r="H1" s="2" t="inlineStr">
        <is>
          <t>V3a</t>
        </is>
      </c>
      <c r="I1" s="2" t="inlineStr">
        <is>
          <t>V3b</t>
        </is>
      </c>
      <c r="J1" s="2" t="inlineStr">
        <is>
          <t>V3c</t>
        </is>
      </c>
      <c r="K1" s="2" t="inlineStr">
        <is>
          <t>V4</t>
        </is>
      </c>
      <c r="L1" s="2" t="inlineStr">
        <is>
          <t>V5</t>
        </is>
      </c>
      <c r="M1" s="2" t="inlineStr">
        <is>
          <t>V6a</t>
        </is>
      </c>
      <c r="N1" s="2" t="inlineStr">
        <is>
          <t>V6b</t>
        </is>
      </c>
      <c r="O1" s="2" t="inlineStr">
        <is>
          <t>V6c</t>
        </is>
      </c>
      <c r="P1" s="2" t="inlineStr">
        <is>
          <t>V6d</t>
        </is>
      </c>
      <c r="Q1" s="2" t="inlineStr">
        <is>
          <t>V6e</t>
        </is>
      </c>
      <c r="R1" s="2" t="inlineStr">
        <is>
          <t>V6f</t>
        </is>
      </c>
      <c r="S1" s="2" t="inlineStr">
        <is>
          <t>V6g</t>
        </is>
      </c>
      <c r="T1" s="2" t="inlineStr">
        <is>
          <t>V7</t>
        </is>
      </c>
      <c r="U1" s="2" t="inlineStr">
        <is>
          <t>V8</t>
        </is>
      </c>
      <c r="V1" s="2" t="inlineStr">
        <is>
          <t>V9</t>
        </is>
      </c>
      <c r="W1" s="2" t="inlineStr">
        <is>
          <t>V10</t>
        </is>
      </c>
      <c r="X1" s="2" t="inlineStr">
        <is>
          <t>V11</t>
        </is>
      </c>
      <c r="Y1" s="2" t="inlineStr">
        <is>
          <t>V12</t>
        </is>
      </c>
      <c r="Z1" s="2" t="inlineStr">
        <is>
          <t>V13</t>
        </is>
      </c>
      <c r="AA1" s="2" t="inlineStr">
        <is>
          <t>V14</t>
        </is>
      </c>
      <c r="AB1" s="2" t="inlineStr">
        <is>
          <t>V15</t>
        </is>
      </c>
      <c r="AC1" s="2" t="inlineStr">
        <is>
          <t>V20</t>
        </is>
      </c>
      <c r="AD1" s="2" t="inlineStr">
        <is>
          <t>V21</t>
        </is>
      </c>
      <c r="AE1" s="2" t="inlineStr">
        <is>
          <t>V22</t>
        </is>
      </c>
      <c r="AF1" s="2" t="inlineStr">
        <is>
          <t>V23</t>
        </is>
      </c>
    </row>
    <row r="2">
      <c r="A2" t="inlineStr">
        <is>
          <t>banco ativado?</t>
        </is>
      </c>
      <c r="B2" t="inlineStr">
        <is>
          <t>não</t>
        </is>
      </c>
      <c r="C2" t="inlineStr">
        <is>
          <t>não</t>
        </is>
      </c>
      <c r="D2" t="inlineStr">
        <is>
          <t>não</t>
        </is>
      </c>
      <c r="E2" t="inlineStr">
        <is>
          <t>não</t>
        </is>
      </c>
      <c r="F2" t="inlineStr">
        <is>
          <t>não</t>
        </is>
      </c>
      <c r="G2" t="inlineStr">
        <is>
          <t>não</t>
        </is>
      </c>
      <c r="H2" t="inlineStr">
        <is>
          <t>não</t>
        </is>
      </c>
      <c r="I2" t="inlineStr">
        <is>
          <t>não</t>
        </is>
      </c>
      <c r="J2" t="inlineStr">
        <is>
          <t>não</t>
        </is>
      </c>
      <c r="K2" t="inlineStr">
        <is>
          <t>não</t>
        </is>
      </c>
      <c r="L2" t="inlineStr">
        <is>
          <t>não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  <c r="S2" t="inlineStr">
        <is>
          <t>sim</t>
        </is>
      </c>
      <c r="T2" t="inlineStr">
        <is>
          <t>sim</t>
        </is>
      </c>
      <c r="U2" t="inlineStr">
        <is>
          <t>não</t>
        </is>
      </c>
      <c r="V2" t="inlineStr">
        <is>
          <t>não</t>
        </is>
      </c>
      <c r="W2" t="inlineStr">
        <is>
          <t>não</t>
        </is>
      </c>
      <c r="X2" t="inlineStr">
        <is>
          <t>não</t>
        </is>
      </c>
      <c r="Y2" t="inlineStr">
        <is>
          <t>não</t>
        </is>
      </c>
      <c r="Z2" t="inlineStr">
        <is>
          <t>não</t>
        </is>
      </c>
      <c r="AA2" t="inlineStr">
        <is>
          <t>sim</t>
        </is>
      </c>
      <c r="AB2" t="inlineStr">
        <is>
          <t>sim</t>
        </is>
      </c>
      <c r="AC2" t="inlineStr">
        <is>
          <t>sim</t>
        </is>
      </c>
      <c r="AD2" t="inlineStr">
        <is>
          <t>sim</t>
        </is>
      </c>
      <c r="AE2" t="inlineStr">
        <is>
          <t>sim</t>
        </is>
      </c>
      <c r="AF2" t="inlineStr">
        <is>
          <t>sim</t>
        </is>
      </c>
    </row>
    <row r="3">
      <c r="A3" t="inlineStr">
        <is>
          <t>contribuições →</t>
        </is>
      </c>
    </row>
    <row r="4">
      <c r="A4" t="inlineStr">
        <is>
          <t>P1.1</t>
        </is>
      </c>
      <c r="B4">
        <f>IF(Entradas_B!C2="N/A",0,IF(Itens_B!$D2="risco",IF(Entradas_B!C2=Itens_B!$E2,Itens_B!$C2,0),IF(Itens_B!$D2="mitigacao",IF(Entradas_B!C2="Sim",-Itens_B!$C2,Itens_B!$C2),IF(Itens_B!$D2="evidencia",IF(Entradas_B!C2="Sim",-Itens_B!$C2,0),0))))</f>
        <v/>
      </c>
      <c r="C4">
        <f>IF(Entradas_B!D2="N/A",0,IF(Itens_B!$D2="risco",IF(Entradas_B!D2=Itens_B!$E2,Itens_B!$C2,0),IF(Itens_B!$D2="mitigacao",IF(Entradas_B!D2="Sim",-Itens_B!$C2,Itens_B!$C2),IF(Itens_B!$D2="evidencia",IF(Entradas_B!D2="Sim",-Itens_B!$C2,0),0))))</f>
        <v/>
      </c>
      <c r="D4">
        <f>IF(Entradas_B!E2="N/A",0,IF(Itens_B!$D2="risco",IF(Entradas_B!E2=Itens_B!$E2,Itens_B!$C2,0),IF(Itens_B!$D2="mitigacao",IF(Entradas_B!E2="Sim",-Itens_B!$C2,Itens_B!$C2),IF(Itens_B!$D2="evidencia",IF(Entradas_B!E2="Sim",-Itens_B!$C2,0),0))))</f>
        <v/>
      </c>
      <c r="E4">
        <f>IF(Entradas_B!F2="N/A",0,IF(Itens_B!$D2="risco",IF(Entradas_B!F2=Itens_B!$E2,Itens_B!$C2,0),IF(Itens_B!$D2="mitigacao",IF(Entradas_B!F2="Sim",-Itens_B!$C2,Itens_B!$C2),IF(Itens_B!$D2="evidencia",IF(Entradas_B!F2="Sim",-Itens_B!$C2,0),0))))</f>
        <v/>
      </c>
      <c r="F4">
        <f>IF(Entradas_B!G2="N/A",0,IF(Itens_B!$D2="risco",IF(Entradas_B!G2=Itens_B!$E2,Itens_B!$C2,0),IF(Itens_B!$D2="mitigacao",IF(Entradas_B!G2="Sim",-Itens_B!$C2,Itens_B!$C2),IF(Itens_B!$D2="evidencia",IF(Entradas_B!G2="Sim",-Itens_B!$C2,0),0))))</f>
        <v/>
      </c>
      <c r="G4">
        <f>IF(Entradas_B!H2="N/A",0,IF(Itens_B!$D2="risco",IF(Entradas_B!H2=Itens_B!$E2,Itens_B!$C2,0),IF(Itens_B!$D2="mitigacao",IF(Entradas_B!H2="Sim",-Itens_B!$C2,Itens_B!$C2),IF(Itens_B!$D2="evidencia",IF(Entradas_B!H2="Sim",-Itens_B!$C2,0),0))))</f>
        <v/>
      </c>
      <c r="H4">
        <f>IF(Entradas_B!I2="N/A",0,IF(Itens_B!$D2="risco",IF(Entradas_B!I2=Itens_B!$E2,Itens_B!$C2,0),IF(Itens_B!$D2="mitigacao",IF(Entradas_B!I2="Sim",-Itens_B!$C2,Itens_B!$C2),IF(Itens_B!$D2="evidencia",IF(Entradas_B!I2="Sim",-Itens_B!$C2,0),0))))</f>
        <v/>
      </c>
      <c r="I4">
        <f>IF(Entradas_B!J2="N/A",0,IF(Itens_B!$D2="risco",IF(Entradas_B!J2=Itens_B!$E2,Itens_B!$C2,0),IF(Itens_B!$D2="mitigacao",IF(Entradas_B!J2="Sim",-Itens_B!$C2,Itens_B!$C2),IF(Itens_B!$D2="evidencia",IF(Entradas_B!J2="Sim",-Itens_B!$C2,0),0))))</f>
        <v/>
      </c>
      <c r="J4">
        <f>IF(Entradas_B!K2="N/A",0,IF(Itens_B!$D2="risco",IF(Entradas_B!K2=Itens_B!$E2,Itens_B!$C2,0),IF(Itens_B!$D2="mitigacao",IF(Entradas_B!K2="Sim",-Itens_B!$C2,Itens_B!$C2),IF(Itens_B!$D2="evidencia",IF(Entradas_B!K2="Sim",-Itens_B!$C2,0),0))))</f>
        <v/>
      </c>
      <c r="K4">
        <f>IF(Entradas_B!L2="N/A",0,IF(Itens_B!$D2="risco",IF(Entradas_B!L2=Itens_B!$E2,Itens_B!$C2,0),IF(Itens_B!$D2="mitigacao",IF(Entradas_B!L2="Sim",-Itens_B!$C2,Itens_B!$C2),IF(Itens_B!$D2="evidencia",IF(Entradas_B!L2="Sim",-Itens_B!$C2,0),0))))</f>
        <v/>
      </c>
      <c r="L4">
        <f>IF(Entradas_B!M2="N/A",0,IF(Itens_B!$D2="risco",IF(Entradas_B!M2=Itens_B!$E2,Itens_B!$C2,0),IF(Itens_B!$D2="mitigacao",IF(Entradas_B!M2="Sim",-Itens_B!$C2,Itens_B!$C2),IF(Itens_B!$D2="evidencia",IF(Entradas_B!M2="Sim",-Itens_B!$C2,0),0))))</f>
        <v/>
      </c>
      <c r="M4">
        <f>IF(Entradas_B!N2="N/A",0,IF(Itens_B!$D2="risco",IF(Entradas_B!N2=Itens_B!$E2,Itens_B!$C2,0),IF(Itens_B!$D2="mitigacao",IF(Entradas_B!N2="Sim",-Itens_B!$C2,Itens_B!$C2),IF(Itens_B!$D2="evidencia",IF(Entradas_B!N2="Sim",-Itens_B!$C2,0),0))))</f>
        <v/>
      </c>
      <c r="N4">
        <f>IF(Entradas_B!O2="N/A",0,IF(Itens_B!$D2="risco",IF(Entradas_B!O2=Itens_B!$E2,Itens_B!$C2,0),IF(Itens_B!$D2="mitigacao",IF(Entradas_B!O2="Sim",-Itens_B!$C2,Itens_B!$C2),IF(Itens_B!$D2="evidencia",IF(Entradas_B!O2="Sim",-Itens_B!$C2,0),0))))</f>
        <v/>
      </c>
      <c r="O4">
        <f>IF(Entradas_B!P2="N/A",0,IF(Itens_B!$D2="risco",IF(Entradas_B!P2=Itens_B!$E2,Itens_B!$C2,0),IF(Itens_B!$D2="mitigacao",IF(Entradas_B!P2="Sim",-Itens_B!$C2,Itens_B!$C2),IF(Itens_B!$D2="evidencia",IF(Entradas_B!P2="Sim",-Itens_B!$C2,0),0))))</f>
        <v/>
      </c>
      <c r="P4">
        <f>IF(Entradas_B!Q2="N/A",0,IF(Itens_B!$D2="risco",IF(Entradas_B!Q2=Itens_B!$E2,Itens_B!$C2,0),IF(Itens_B!$D2="mitigacao",IF(Entradas_B!Q2="Sim",-Itens_B!$C2,Itens_B!$C2),IF(Itens_B!$D2="evidencia",IF(Entradas_B!Q2="Sim",-Itens_B!$C2,0),0))))</f>
        <v/>
      </c>
      <c r="Q4">
        <f>IF(Entradas_B!R2="N/A",0,IF(Itens_B!$D2="risco",IF(Entradas_B!R2=Itens_B!$E2,Itens_B!$C2,0),IF(Itens_B!$D2="mitigacao",IF(Entradas_B!R2="Sim",-Itens_B!$C2,Itens_B!$C2),IF(Itens_B!$D2="evidencia",IF(Entradas_B!R2="Sim",-Itens_B!$C2,0),0))))</f>
        <v/>
      </c>
      <c r="R4">
        <f>IF(Entradas_B!S2="N/A",0,IF(Itens_B!$D2="risco",IF(Entradas_B!S2=Itens_B!$E2,Itens_B!$C2,0),IF(Itens_B!$D2="mitigacao",IF(Entradas_B!S2="Sim",-Itens_B!$C2,Itens_B!$C2),IF(Itens_B!$D2="evidencia",IF(Entradas_B!S2="Sim",-Itens_B!$C2,0),0))))</f>
        <v/>
      </c>
      <c r="S4">
        <f>IF(Entradas_B!T2="N/A",0,IF(Itens_B!$D2="risco",IF(Entradas_B!T2=Itens_B!$E2,Itens_B!$C2,0),IF(Itens_B!$D2="mitigacao",IF(Entradas_B!T2="Sim",-Itens_B!$C2,Itens_B!$C2),IF(Itens_B!$D2="evidencia",IF(Entradas_B!T2="Sim",-Itens_B!$C2,0),0))))</f>
        <v/>
      </c>
      <c r="T4">
        <f>IF(Entradas_B!U2="N/A",0,IF(Itens_B!$D2="risco",IF(Entradas_B!U2=Itens_B!$E2,Itens_B!$C2,0),IF(Itens_B!$D2="mitigacao",IF(Entradas_B!U2="Sim",-Itens_B!$C2,Itens_B!$C2),IF(Itens_B!$D2="evidencia",IF(Entradas_B!U2="Sim",-Itens_B!$C2,0),0))))</f>
        <v/>
      </c>
      <c r="U4">
        <f>IF(Entradas_B!V2="N/A",0,IF(Itens_B!$D2="risco",IF(Entradas_B!V2=Itens_B!$E2,Itens_B!$C2,0),IF(Itens_B!$D2="mitigacao",IF(Entradas_B!V2="Sim",-Itens_B!$C2,Itens_B!$C2),IF(Itens_B!$D2="evidencia",IF(Entradas_B!V2="Sim",-Itens_B!$C2,0),0))))</f>
        <v/>
      </c>
      <c r="V4">
        <f>IF(Entradas_B!W2="N/A",0,IF(Itens_B!$D2="risco",IF(Entradas_B!W2=Itens_B!$E2,Itens_B!$C2,0),IF(Itens_B!$D2="mitigacao",IF(Entradas_B!W2="Sim",-Itens_B!$C2,Itens_B!$C2),IF(Itens_B!$D2="evidencia",IF(Entradas_B!W2="Sim",-Itens_B!$C2,0),0))))</f>
        <v/>
      </c>
      <c r="W4">
        <f>IF(Entradas_B!X2="N/A",0,IF(Itens_B!$D2="risco",IF(Entradas_B!X2=Itens_B!$E2,Itens_B!$C2,0),IF(Itens_B!$D2="mitigacao",IF(Entradas_B!X2="Sim",-Itens_B!$C2,Itens_B!$C2),IF(Itens_B!$D2="evidencia",IF(Entradas_B!X2="Sim",-Itens_B!$C2,0),0))))</f>
        <v/>
      </c>
      <c r="X4">
        <f>IF(Entradas_B!Y2="N/A",0,IF(Itens_B!$D2="risco",IF(Entradas_B!Y2=Itens_B!$E2,Itens_B!$C2,0),IF(Itens_B!$D2="mitigacao",IF(Entradas_B!Y2="Sim",-Itens_B!$C2,Itens_B!$C2),IF(Itens_B!$D2="evidencia",IF(Entradas_B!Y2="Sim",-Itens_B!$C2,0),0))))</f>
        <v/>
      </c>
      <c r="Y4">
        <f>IF(Entradas_B!Z2="N/A",0,IF(Itens_B!$D2="risco",IF(Entradas_B!Z2=Itens_B!$E2,Itens_B!$C2,0),IF(Itens_B!$D2="mitigacao",IF(Entradas_B!Z2="Sim",-Itens_B!$C2,Itens_B!$C2),IF(Itens_B!$D2="evidencia",IF(Entradas_B!Z2="Sim",-Itens_B!$C2,0),0))))</f>
        <v/>
      </c>
      <c r="Z4">
        <f>IF(Entradas_B!AA2="N/A",0,IF(Itens_B!$D2="risco",IF(Entradas_B!AA2=Itens_B!$E2,Itens_B!$C2,0),IF(Itens_B!$D2="mitigacao",IF(Entradas_B!AA2="Sim",-Itens_B!$C2,Itens_B!$C2),IF(Itens_B!$D2="evidencia",IF(Entradas_B!AA2="Sim",-Itens_B!$C2,0),0))))</f>
        <v/>
      </c>
      <c r="AA4">
        <f>IF(Entradas_B!AB2="N/A",0,IF(Itens_B!$D2="risco",IF(Entradas_B!AB2=Itens_B!$E2,Itens_B!$C2,0),IF(Itens_B!$D2="mitigacao",IF(Entradas_B!AB2="Sim",-Itens_B!$C2,Itens_B!$C2),IF(Itens_B!$D2="evidencia",IF(Entradas_B!AB2="Sim",-Itens_B!$C2,0),0))))</f>
        <v/>
      </c>
      <c r="AB4">
        <f>IF(Entradas_B!AC2="N/A",0,IF(Itens_B!$D2="risco",IF(Entradas_B!AC2=Itens_B!$E2,Itens_B!$C2,0),IF(Itens_B!$D2="mitigacao",IF(Entradas_B!AC2="Sim",-Itens_B!$C2,Itens_B!$C2),IF(Itens_B!$D2="evidencia",IF(Entradas_B!AC2="Sim",-Itens_B!$C2,0),0))))</f>
        <v/>
      </c>
      <c r="AC4">
        <f>IF(Entradas_B!AD2="N/A",0,IF(Itens_B!$D2="risco",IF(Entradas_B!AD2=Itens_B!$E2,Itens_B!$C2,0),IF(Itens_B!$D2="mitigacao",IF(Entradas_B!AD2="Sim",-Itens_B!$C2,Itens_B!$C2),IF(Itens_B!$D2="evidencia",IF(Entradas_B!AD2="Sim",-Itens_B!$C2,0),0))))</f>
        <v/>
      </c>
      <c r="AD4">
        <f>IF(Entradas_B!AE2="N/A",0,IF(Itens_B!$D2="risco",IF(Entradas_B!AE2=Itens_B!$E2,Itens_B!$C2,0),IF(Itens_B!$D2="mitigacao",IF(Entradas_B!AE2="Sim",-Itens_B!$C2,Itens_B!$C2),IF(Itens_B!$D2="evidencia",IF(Entradas_B!AE2="Sim",-Itens_B!$C2,0),0))))</f>
        <v/>
      </c>
      <c r="AE4">
        <f>IF(Entradas_B!AF2="N/A",0,IF(Itens_B!$D2="risco",IF(Entradas_B!AF2=Itens_B!$E2,Itens_B!$C2,0),IF(Itens_B!$D2="mitigacao",IF(Entradas_B!AF2="Sim",-Itens_B!$C2,Itens_B!$C2),IF(Itens_B!$D2="evidencia",IF(Entradas_B!AF2="Sim",-Itens_B!$C2,0),0))))</f>
        <v/>
      </c>
      <c r="AF4">
        <f>IF(Entradas_B!AG2="N/A",0,IF(Itens_B!$D2="risco",IF(Entradas_B!AG2=Itens_B!$E2,Itens_B!$C2,0),IF(Itens_B!$D2="mitigacao",IF(Entradas_B!AG2="Sim",-Itens_B!$C2,Itens_B!$C2),IF(Itens_B!$D2="evidencia",IF(Entradas_B!AG2="Sim",-Itens_B!$C2,0),0))))</f>
        <v/>
      </c>
    </row>
    <row r="5">
      <c r="A5" t="inlineStr">
        <is>
          <t>P1.2</t>
        </is>
      </c>
      <c r="B5">
        <f>IF(Entradas_B!C3="N/A",0,IF(Itens_B!$D3="risco",IF(Entradas_B!C3=Itens_B!$E3,Itens_B!$C3,0),IF(Itens_B!$D3="mitigacao",IF(Entradas_B!C3="Sim",-Itens_B!$C3,Itens_B!$C3),IF(Itens_B!$D3="evidencia",IF(Entradas_B!C3="Sim",-Itens_B!$C3,0),0))))</f>
        <v/>
      </c>
      <c r="C5">
        <f>IF(Entradas_B!D3="N/A",0,IF(Itens_B!$D3="risco",IF(Entradas_B!D3=Itens_B!$E3,Itens_B!$C3,0),IF(Itens_B!$D3="mitigacao",IF(Entradas_B!D3="Sim",-Itens_B!$C3,Itens_B!$C3),IF(Itens_B!$D3="evidencia",IF(Entradas_B!D3="Sim",-Itens_B!$C3,0),0))))</f>
        <v/>
      </c>
      <c r="D5">
        <f>IF(Entradas_B!E3="N/A",0,IF(Itens_B!$D3="risco",IF(Entradas_B!E3=Itens_B!$E3,Itens_B!$C3,0),IF(Itens_B!$D3="mitigacao",IF(Entradas_B!E3="Sim",-Itens_B!$C3,Itens_B!$C3),IF(Itens_B!$D3="evidencia",IF(Entradas_B!E3="Sim",-Itens_B!$C3,0),0))))</f>
        <v/>
      </c>
      <c r="E5">
        <f>IF(Entradas_B!F3="N/A",0,IF(Itens_B!$D3="risco",IF(Entradas_B!F3=Itens_B!$E3,Itens_B!$C3,0),IF(Itens_B!$D3="mitigacao",IF(Entradas_B!F3="Sim",-Itens_B!$C3,Itens_B!$C3),IF(Itens_B!$D3="evidencia",IF(Entradas_B!F3="Sim",-Itens_B!$C3,0),0))))</f>
        <v/>
      </c>
      <c r="F5">
        <f>IF(Entradas_B!G3="N/A",0,IF(Itens_B!$D3="risco",IF(Entradas_B!G3=Itens_B!$E3,Itens_B!$C3,0),IF(Itens_B!$D3="mitigacao",IF(Entradas_B!G3="Sim",-Itens_B!$C3,Itens_B!$C3),IF(Itens_B!$D3="evidencia",IF(Entradas_B!G3="Sim",-Itens_B!$C3,0),0))))</f>
        <v/>
      </c>
      <c r="G5">
        <f>IF(Entradas_B!H3="N/A",0,IF(Itens_B!$D3="risco",IF(Entradas_B!H3=Itens_B!$E3,Itens_B!$C3,0),IF(Itens_B!$D3="mitigacao",IF(Entradas_B!H3="Sim",-Itens_B!$C3,Itens_B!$C3),IF(Itens_B!$D3="evidencia",IF(Entradas_B!H3="Sim",-Itens_B!$C3,0),0))))</f>
        <v/>
      </c>
      <c r="H5">
        <f>IF(Entradas_B!I3="N/A",0,IF(Itens_B!$D3="risco",IF(Entradas_B!I3=Itens_B!$E3,Itens_B!$C3,0),IF(Itens_B!$D3="mitigacao",IF(Entradas_B!I3="Sim",-Itens_B!$C3,Itens_B!$C3),IF(Itens_B!$D3="evidencia",IF(Entradas_B!I3="Sim",-Itens_B!$C3,0),0))))</f>
        <v/>
      </c>
      <c r="I5">
        <f>IF(Entradas_B!J3="N/A",0,IF(Itens_B!$D3="risco",IF(Entradas_B!J3=Itens_B!$E3,Itens_B!$C3,0),IF(Itens_B!$D3="mitigacao",IF(Entradas_B!J3="Sim",-Itens_B!$C3,Itens_B!$C3),IF(Itens_B!$D3="evidencia",IF(Entradas_B!J3="Sim",-Itens_B!$C3,0),0))))</f>
        <v/>
      </c>
      <c r="J5">
        <f>IF(Entradas_B!K3="N/A",0,IF(Itens_B!$D3="risco",IF(Entradas_B!K3=Itens_B!$E3,Itens_B!$C3,0),IF(Itens_B!$D3="mitigacao",IF(Entradas_B!K3="Sim",-Itens_B!$C3,Itens_B!$C3),IF(Itens_B!$D3="evidencia",IF(Entradas_B!K3="Sim",-Itens_B!$C3,0),0))))</f>
        <v/>
      </c>
      <c r="K5">
        <f>IF(Entradas_B!L3="N/A",0,IF(Itens_B!$D3="risco",IF(Entradas_B!L3=Itens_B!$E3,Itens_B!$C3,0),IF(Itens_B!$D3="mitigacao",IF(Entradas_B!L3="Sim",-Itens_B!$C3,Itens_B!$C3),IF(Itens_B!$D3="evidencia",IF(Entradas_B!L3="Sim",-Itens_B!$C3,0),0))))</f>
        <v/>
      </c>
      <c r="L5">
        <f>IF(Entradas_B!M3="N/A",0,IF(Itens_B!$D3="risco",IF(Entradas_B!M3=Itens_B!$E3,Itens_B!$C3,0),IF(Itens_B!$D3="mitigacao",IF(Entradas_B!M3="Sim",-Itens_B!$C3,Itens_B!$C3),IF(Itens_B!$D3="evidencia",IF(Entradas_B!M3="Sim",-Itens_B!$C3,0),0))))</f>
        <v/>
      </c>
      <c r="M5">
        <f>IF(Entradas_B!N3="N/A",0,IF(Itens_B!$D3="risco",IF(Entradas_B!N3=Itens_B!$E3,Itens_B!$C3,0),IF(Itens_B!$D3="mitigacao",IF(Entradas_B!N3="Sim",-Itens_B!$C3,Itens_B!$C3),IF(Itens_B!$D3="evidencia",IF(Entradas_B!N3="Sim",-Itens_B!$C3,0),0))))</f>
        <v/>
      </c>
      <c r="N5">
        <f>IF(Entradas_B!O3="N/A",0,IF(Itens_B!$D3="risco",IF(Entradas_B!O3=Itens_B!$E3,Itens_B!$C3,0),IF(Itens_B!$D3="mitigacao",IF(Entradas_B!O3="Sim",-Itens_B!$C3,Itens_B!$C3),IF(Itens_B!$D3="evidencia",IF(Entradas_B!O3="Sim",-Itens_B!$C3,0),0))))</f>
        <v/>
      </c>
      <c r="O5">
        <f>IF(Entradas_B!P3="N/A",0,IF(Itens_B!$D3="risco",IF(Entradas_B!P3=Itens_B!$E3,Itens_B!$C3,0),IF(Itens_B!$D3="mitigacao",IF(Entradas_B!P3="Sim",-Itens_B!$C3,Itens_B!$C3),IF(Itens_B!$D3="evidencia",IF(Entradas_B!P3="Sim",-Itens_B!$C3,0),0))))</f>
        <v/>
      </c>
      <c r="P5">
        <f>IF(Entradas_B!Q3="N/A",0,IF(Itens_B!$D3="risco",IF(Entradas_B!Q3=Itens_B!$E3,Itens_B!$C3,0),IF(Itens_B!$D3="mitigacao",IF(Entradas_B!Q3="Sim",-Itens_B!$C3,Itens_B!$C3),IF(Itens_B!$D3="evidencia",IF(Entradas_B!Q3="Sim",-Itens_B!$C3,0),0))))</f>
        <v/>
      </c>
      <c r="Q5">
        <f>IF(Entradas_B!R3="N/A",0,IF(Itens_B!$D3="risco",IF(Entradas_B!R3=Itens_B!$E3,Itens_B!$C3,0),IF(Itens_B!$D3="mitigacao",IF(Entradas_B!R3="Sim",-Itens_B!$C3,Itens_B!$C3),IF(Itens_B!$D3="evidencia",IF(Entradas_B!R3="Sim",-Itens_B!$C3,0),0))))</f>
        <v/>
      </c>
      <c r="R5">
        <f>IF(Entradas_B!S3="N/A",0,IF(Itens_B!$D3="risco",IF(Entradas_B!S3=Itens_B!$E3,Itens_B!$C3,0),IF(Itens_B!$D3="mitigacao",IF(Entradas_B!S3="Sim",-Itens_B!$C3,Itens_B!$C3),IF(Itens_B!$D3="evidencia",IF(Entradas_B!S3="Sim",-Itens_B!$C3,0),0))))</f>
        <v/>
      </c>
      <c r="S5">
        <f>IF(Entradas_B!T3="N/A",0,IF(Itens_B!$D3="risco",IF(Entradas_B!T3=Itens_B!$E3,Itens_B!$C3,0),IF(Itens_B!$D3="mitigacao",IF(Entradas_B!T3="Sim",-Itens_B!$C3,Itens_B!$C3),IF(Itens_B!$D3="evidencia",IF(Entradas_B!T3="Sim",-Itens_B!$C3,0),0))))</f>
        <v/>
      </c>
      <c r="T5">
        <f>IF(Entradas_B!U3="N/A",0,IF(Itens_B!$D3="risco",IF(Entradas_B!U3=Itens_B!$E3,Itens_B!$C3,0),IF(Itens_B!$D3="mitigacao",IF(Entradas_B!U3="Sim",-Itens_B!$C3,Itens_B!$C3),IF(Itens_B!$D3="evidencia",IF(Entradas_B!U3="Sim",-Itens_B!$C3,0),0))))</f>
        <v/>
      </c>
      <c r="U5">
        <f>IF(Entradas_B!V3="N/A",0,IF(Itens_B!$D3="risco",IF(Entradas_B!V3=Itens_B!$E3,Itens_B!$C3,0),IF(Itens_B!$D3="mitigacao",IF(Entradas_B!V3="Sim",-Itens_B!$C3,Itens_B!$C3),IF(Itens_B!$D3="evidencia",IF(Entradas_B!V3="Sim",-Itens_B!$C3,0),0))))</f>
        <v/>
      </c>
      <c r="V5">
        <f>IF(Entradas_B!W3="N/A",0,IF(Itens_B!$D3="risco",IF(Entradas_B!W3=Itens_B!$E3,Itens_B!$C3,0),IF(Itens_B!$D3="mitigacao",IF(Entradas_B!W3="Sim",-Itens_B!$C3,Itens_B!$C3),IF(Itens_B!$D3="evidencia",IF(Entradas_B!W3="Sim",-Itens_B!$C3,0),0))))</f>
        <v/>
      </c>
      <c r="W5">
        <f>IF(Entradas_B!X3="N/A",0,IF(Itens_B!$D3="risco",IF(Entradas_B!X3=Itens_B!$E3,Itens_B!$C3,0),IF(Itens_B!$D3="mitigacao",IF(Entradas_B!X3="Sim",-Itens_B!$C3,Itens_B!$C3),IF(Itens_B!$D3="evidencia",IF(Entradas_B!X3="Sim",-Itens_B!$C3,0),0))))</f>
        <v/>
      </c>
      <c r="X5">
        <f>IF(Entradas_B!Y3="N/A",0,IF(Itens_B!$D3="risco",IF(Entradas_B!Y3=Itens_B!$E3,Itens_B!$C3,0),IF(Itens_B!$D3="mitigacao",IF(Entradas_B!Y3="Sim",-Itens_B!$C3,Itens_B!$C3),IF(Itens_B!$D3="evidencia",IF(Entradas_B!Y3="Sim",-Itens_B!$C3,0),0))))</f>
        <v/>
      </c>
      <c r="Y5">
        <f>IF(Entradas_B!Z3="N/A",0,IF(Itens_B!$D3="risco",IF(Entradas_B!Z3=Itens_B!$E3,Itens_B!$C3,0),IF(Itens_B!$D3="mitigacao",IF(Entradas_B!Z3="Sim",-Itens_B!$C3,Itens_B!$C3),IF(Itens_B!$D3="evidencia",IF(Entradas_B!Z3="Sim",-Itens_B!$C3,0),0))))</f>
        <v/>
      </c>
      <c r="Z5">
        <f>IF(Entradas_B!AA3="N/A",0,IF(Itens_B!$D3="risco",IF(Entradas_B!AA3=Itens_B!$E3,Itens_B!$C3,0),IF(Itens_B!$D3="mitigacao",IF(Entradas_B!AA3="Sim",-Itens_B!$C3,Itens_B!$C3),IF(Itens_B!$D3="evidencia",IF(Entradas_B!AA3="Sim",-Itens_B!$C3,0),0))))</f>
        <v/>
      </c>
      <c r="AA5">
        <f>IF(Entradas_B!AB3="N/A",0,IF(Itens_B!$D3="risco",IF(Entradas_B!AB3=Itens_B!$E3,Itens_B!$C3,0),IF(Itens_B!$D3="mitigacao",IF(Entradas_B!AB3="Sim",-Itens_B!$C3,Itens_B!$C3),IF(Itens_B!$D3="evidencia",IF(Entradas_B!AB3="Sim",-Itens_B!$C3,0),0))))</f>
        <v/>
      </c>
      <c r="AB5">
        <f>IF(Entradas_B!AC3="N/A",0,IF(Itens_B!$D3="risco",IF(Entradas_B!AC3=Itens_B!$E3,Itens_B!$C3,0),IF(Itens_B!$D3="mitigacao",IF(Entradas_B!AC3="Sim",-Itens_B!$C3,Itens_B!$C3),IF(Itens_B!$D3="evidencia",IF(Entradas_B!AC3="Sim",-Itens_B!$C3,0),0))))</f>
        <v/>
      </c>
      <c r="AC5">
        <f>IF(Entradas_B!AD3="N/A",0,IF(Itens_B!$D3="risco",IF(Entradas_B!AD3=Itens_B!$E3,Itens_B!$C3,0),IF(Itens_B!$D3="mitigacao",IF(Entradas_B!AD3="Sim",-Itens_B!$C3,Itens_B!$C3),IF(Itens_B!$D3="evidencia",IF(Entradas_B!AD3="Sim",-Itens_B!$C3,0),0))))</f>
        <v/>
      </c>
      <c r="AD5">
        <f>IF(Entradas_B!AE3="N/A",0,IF(Itens_B!$D3="risco",IF(Entradas_B!AE3=Itens_B!$E3,Itens_B!$C3,0),IF(Itens_B!$D3="mitigacao",IF(Entradas_B!AE3="Sim",-Itens_B!$C3,Itens_B!$C3),IF(Itens_B!$D3="evidencia",IF(Entradas_B!AE3="Sim",-Itens_B!$C3,0),0))))</f>
        <v/>
      </c>
      <c r="AE5">
        <f>IF(Entradas_B!AF3="N/A",0,IF(Itens_B!$D3="risco",IF(Entradas_B!AF3=Itens_B!$E3,Itens_B!$C3,0),IF(Itens_B!$D3="mitigacao",IF(Entradas_B!AF3="Sim",-Itens_B!$C3,Itens_B!$C3),IF(Itens_B!$D3="evidencia",IF(Entradas_B!AF3="Sim",-Itens_B!$C3,0),0))))</f>
        <v/>
      </c>
      <c r="AF5">
        <f>IF(Entradas_B!AG3="N/A",0,IF(Itens_B!$D3="risco",IF(Entradas_B!AG3=Itens_B!$E3,Itens_B!$C3,0),IF(Itens_B!$D3="mitigacao",IF(Entradas_B!AG3="Sim",-Itens_B!$C3,Itens_B!$C3),IF(Itens_B!$D3="evidencia",IF(Entradas_B!AG3="Sim",-Itens_B!$C3,0),0))))</f>
        <v/>
      </c>
    </row>
    <row r="6">
      <c r="A6" t="inlineStr">
        <is>
          <t>P1.3</t>
        </is>
      </c>
      <c r="B6">
        <f>IF(Entradas_B!C4="N/A",0,IF(Itens_B!$D4="risco",IF(Entradas_B!C4=Itens_B!$E4,Itens_B!$C4,0),IF(Itens_B!$D4="mitigacao",IF(Entradas_B!C4="Sim",-Itens_B!$C4,Itens_B!$C4),IF(Itens_B!$D4="evidencia",IF(Entradas_B!C4="Sim",-Itens_B!$C4,0),0))))</f>
        <v/>
      </c>
      <c r="C6">
        <f>IF(Entradas_B!D4="N/A",0,IF(Itens_B!$D4="risco",IF(Entradas_B!D4=Itens_B!$E4,Itens_B!$C4,0),IF(Itens_B!$D4="mitigacao",IF(Entradas_B!D4="Sim",-Itens_B!$C4,Itens_B!$C4),IF(Itens_B!$D4="evidencia",IF(Entradas_B!D4="Sim",-Itens_B!$C4,0),0))))</f>
        <v/>
      </c>
      <c r="D6">
        <f>IF(Entradas_B!E4="N/A",0,IF(Itens_B!$D4="risco",IF(Entradas_B!E4=Itens_B!$E4,Itens_B!$C4,0),IF(Itens_B!$D4="mitigacao",IF(Entradas_B!E4="Sim",-Itens_B!$C4,Itens_B!$C4),IF(Itens_B!$D4="evidencia",IF(Entradas_B!E4="Sim",-Itens_B!$C4,0),0))))</f>
        <v/>
      </c>
      <c r="E6">
        <f>IF(Entradas_B!F4="N/A",0,IF(Itens_B!$D4="risco",IF(Entradas_B!F4=Itens_B!$E4,Itens_B!$C4,0),IF(Itens_B!$D4="mitigacao",IF(Entradas_B!F4="Sim",-Itens_B!$C4,Itens_B!$C4),IF(Itens_B!$D4="evidencia",IF(Entradas_B!F4="Sim",-Itens_B!$C4,0),0))))</f>
        <v/>
      </c>
      <c r="F6">
        <f>IF(Entradas_B!G4="N/A",0,IF(Itens_B!$D4="risco",IF(Entradas_B!G4=Itens_B!$E4,Itens_B!$C4,0),IF(Itens_B!$D4="mitigacao",IF(Entradas_B!G4="Sim",-Itens_B!$C4,Itens_B!$C4),IF(Itens_B!$D4="evidencia",IF(Entradas_B!G4="Sim",-Itens_B!$C4,0),0))))</f>
        <v/>
      </c>
      <c r="G6">
        <f>IF(Entradas_B!H4="N/A",0,IF(Itens_B!$D4="risco",IF(Entradas_B!H4=Itens_B!$E4,Itens_B!$C4,0),IF(Itens_B!$D4="mitigacao",IF(Entradas_B!H4="Sim",-Itens_B!$C4,Itens_B!$C4),IF(Itens_B!$D4="evidencia",IF(Entradas_B!H4="Sim",-Itens_B!$C4,0),0))))</f>
        <v/>
      </c>
      <c r="H6">
        <f>IF(Entradas_B!I4="N/A",0,IF(Itens_B!$D4="risco",IF(Entradas_B!I4=Itens_B!$E4,Itens_B!$C4,0),IF(Itens_B!$D4="mitigacao",IF(Entradas_B!I4="Sim",-Itens_B!$C4,Itens_B!$C4),IF(Itens_B!$D4="evidencia",IF(Entradas_B!I4="Sim",-Itens_B!$C4,0),0))))</f>
        <v/>
      </c>
      <c r="I6">
        <f>IF(Entradas_B!J4="N/A",0,IF(Itens_B!$D4="risco",IF(Entradas_B!J4=Itens_B!$E4,Itens_B!$C4,0),IF(Itens_B!$D4="mitigacao",IF(Entradas_B!J4="Sim",-Itens_B!$C4,Itens_B!$C4),IF(Itens_B!$D4="evidencia",IF(Entradas_B!J4="Sim",-Itens_B!$C4,0),0))))</f>
        <v/>
      </c>
      <c r="J6">
        <f>IF(Entradas_B!K4="N/A",0,IF(Itens_B!$D4="risco",IF(Entradas_B!K4=Itens_B!$E4,Itens_B!$C4,0),IF(Itens_B!$D4="mitigacao",IF(Entradas_B!K4="Sim",-Itens_B!$C4,Itens_B!$C4),IF(Itens_B!$D4="evidencia",IF(Entradas_B!K4="Sim",-Itens_B!$C4,0),0))))</f>
        <v/>
      </c>
      <c r="K6">
        <f>IF(Entradas_B!L4="N/A",0,IF(Itens_B!$D4="risco",IF(Entradas_B!L4=Itens_B!$E4,Itens_B!$C4,0),IF(Itens_B!$D4="mitigacao",IF(Entradas_B!L4="Sim",-Itens_B!$C4,Itens_B!$C4),IF(Itens_B!$D4="evidencia",IF(Entradas_B!L4="Sim",-Itens_B!$C4,0),0))))</f>
        <v/>
      </c>
      <c r="L6">
        <f>IF(Entradas_B!M4="N/A",0,IF(Itens_B!$D4="risco",IF(Entradas_B!M4=Itens_B!$E4,Itens_B!$C4,0),IF(Itens_B!$D4="mitigacao",IF(Entradas_B!M4="Sim",-Itens_B!$C4,Itens_B!$C4),IF(Itens_B!$D4="evidencia",IF(Entradas_B!M4="Sim",-Itens_B!$C4,0),0))))</f>
        <v/>
      </c>
      <c r="M6">
        <f>IF(Entradas_B!N4="N/A",0,IF(Itens_B!$D4="risco",IF(Entradas_B!N4=Itens_B!$E4,Itens_B!$C4,0),IF(Itens_B!$D4="mitigacao",IF(Entradas_B!N4="Sim",-Itens_B!$C4,Itens_B!$C4),IF(Itens_B!$D4="evidencia",IF(Entradas_B!N4="Sim",-Itens_B!$C4,0),0))))</f>
        <v/>
      </c>
      <c r="N6">
        <f>IF(Entradas_B!O4="N/A",0,IF(Itens_B!$D4="risco",IF(Entradas_B!O4=Itens_B!$E4,Itens_B!$C4,0),IF(Itens_B!$D4="mitigacao",IF(Entradas_B!O4="Sim",-Itens_B!$C4,Itens_B!$C4),IF(Itens_B!$D4="evidencia",IF(Entradas_B!O4="Sim",-Itens_B!$C4,0),0))))</f>
        <v/>
      </c>
      <c r="O6">
        <f>IF(Entradas_B!P4="N/A",0,IF(Itens_B!$D4="risco",IF(Entradas_B!P4=Itens_B!$E4,Itens_B!$C4,0),IF(Itens_B!$D4="mitigacao",IF(Entradas_B!P4="Sim",-Itens_B!$C4,Itens_B!$C4),IF(Itens_B!$D4="evidencia",IF(Entradas_B!P4="Sim",-Itens_B!$C4,0),0))))</f>
        <v/>
      </c>
      <c r="P6">
        <f>IF(Entradas_B!Q4="N/A",0,IF(Itens_B!$D4="risco",IF(Entradas_B!Q4=Itens_B!$E4,Itens_B!$C4,0),IF(Itens_B!$D4="mitigacao",IF(Entradas_B!Q4="Sim",-Itens_B!$C4,Itens_B!$C4),IF(Itens_B!$D4="evidencia",IF(Entradas_B!Q4="Sim",-Itens_B!$C4,0),0))))</f>
        <v/>
      </c>
      <c r="Q6">
        <f>IF(Entradas_B!R4="N/A",0,IF(Itens_B!$D4="risco",IF(Entradas_B!R4=Itens_B!$E4,Itens_B!$C4,0),IF(Itens_B!$D4="mitigacao",IF(Entradas_B!R4="Sim",-Itens_B!$C4,Itens_B!$C4),IF(Itens_B!$D4="evidencia",IF(Entradas_B!R4="Sim",-Itens_B!$C4,0),0))))</f>
        <v/>
      </c>
      <c r="R6">
        <f>IF(Entradas_B!S4="N/A",0,IF(Itens_B!$D4="risco",IF(Entradas_B!S4=Itens_B!$E4,Itens_B!$C4,0),IF(Itens_B!$D4="mitigacao",IF(Entradas_B!S4="Sim",-Itens_B!$C4,Itens_B!$C4),IF(Itens_B!$D4="evidencia",IF(Entradas_B!S4="Sim",-Itens_B!$C4,0),0))))</f>
        <v/>
      </c>
      <c r="S6">
        <f>IF(Entradas_B!T4="N/A",0,IF(Itens_B!$D4="risco",IF(Entradas_B!T4=Itens_B!$E4,Itens_B!$C4,0),IF(Itens_B!$D4="mitigacao",IF(Entradas_B!T4="Sim",-Itens_B!$C4,Itens_B!$C4),IF(Itens_B!$D4="evidencia",IF(Entradas_B!T4="Sim",-Itens_B!$C4,0),0))))</f>
        <v/>
      </c>
      <c r="T6">
        <f>IF(Entradas_B!U4="N/A",0,IF(Itens_B!$D4="risco",IF(Entradas_B!U4=Itens_B!$E4,Itens_B!$C4,0),IF(Itens_B!$D4="mitigacao",IF(Entradas_B!U4="Sim",-Itens_B!$C4,Itens_B!$C4),IF(Itens_B!$D4="evidencia",IF(Entradas_B!U4="Sim",-Itens_B!$C4,0),0))))</f>
        <v/>
      </c>
      <c r="U6">
        <f>IF(Entradas_B!V4="N/A",0,IF(Itens_B!$D4="risco",IF(Entradas_B!V4=Itens_B!$E4,Itens_B!$C4,0),IF(Itens_B!$D4="mitigacao",IF(Entradas_B!V4="Sim",-Itens_B!$C4,Itens_B!$C4),IF(Itens_B!$D4="evidencia",IF(Entradas_B!V4="Sim",-Itens_B!$C4,0),0))))</f>
        <v/>
      </c>
      <c r="V6">
        <f>IF(Entradas_B!W4="N/A",0,IF(Itens_B!$D4="risco",IF(Entradas_B!W4=Itens_B!$E4,Itens_B!$C4,0),IF(Itens_B!$D4="mitigacao",IF(Entradas_B!W4="Sim",-Itens_B!$C4,Itens_B!$C4),IF(Itens_B!$D4="evidencia",IF(Entradas_B!W4="Sim",-Itens_B!$C4,0),0))))</f>
        <v/>
      </c>
      <c r="W6">
        <f>IF(Entradas_B!X4="N/A",0,IF(Itens_B!$D4="risco",IF(Entradas_B!X4=Itens_B!$E4,Itens_B!$C4,0),IF(Itens_B!$D4="mitigacao",IF(Entradas_B!X4="Sim",-Itens_B!$C4,Itens_B!$C4),IF(Itens_B!$D4="evidencia",IF(Entradas_B!X4="Sim",-Itens_B!$C4,0),0))))</f>
        <v/>
      </c>
      <c r="X6">
        <f>IF(Entradas_B!Y4="N/A",0,IF(Itens_B!$D4="risco",IF(Entradas_B!Y4=Itens_B!$E4,Itens_B!$C4,0),IF(Itens_B!$D4="mitigacao",IF(Entradas_B!Y4="Sim",-Itens_B!$C4,Itens_B!$C4),IF(Itens_B!$D4="evidencia",IF(Entradas_B!Y4="Sim",-Itens_B!$C4,0),0))))</f>
        <v/>
      </c>
      <c r="Y6">
        <f>IF(Entradas_B!Z4="N/A",0,IF(Itens_B!$D4="risco",IF(Entradas_B!Z4=Itens_B!$E4,Itens_B!$C4,0),IF(Itens_B!$D4="mitigacao",IF(Entradas_B!Z4="Sim",-Itens_B!$C4,Itens_B!$C4),IF(Itens_B!$D4="evidencia",IF(Entradas_B!Z4="Sim",-Itens_B!$C4,0),0))))</f>
        <v/>
      </c>
      <c r="Z6">
        <f>IF(Entradas_B!AA4="N/A",0,IF(Itens_B!$D4="risco",IF(Entradas_B!AA4=Itens_B!$E4,Itens_B!$C4,0),IF(Itens_B!$D4="mitigacao",IF(Entradas_B!AA4="Sim",-Itens_B!$C4,Itens_B!$C4),IF(Itens_B!$D4="evidencia",IF(Entradas_B!AA4="Sim",-Itens_B!$C4,0),0))))</f>
        <v/>
      </c>
      <c r="AA6">
        <f>IF(Entradas_B!AB4="N/A",0,IF(Itens_B!$D4="risco",IF(Entradas_B!AB4=Itens_B!$E4,Itens_B!$C4,0),IF(Itens_B!$D4="mitigacao",IF(Entradas_B!AB4="Sim",-Itens_B!$C4,Itens_B!$C4),IF(Itens_B!$D4="evidencia",IF(Entradas_B!AB4="Sim",-Itens_B!$C4,0),0))))</f>
        <v/>
      </c>
      <c r="AB6">
        <f>IF(Entradas_B!AC4="N/A",0,IF(Itens_B!$D4="risco",IF(Entradas_B!AC4=Itens_B!$E4,Itens_B!$C4,0),IF(Itens_B!$D4="mitigacao",IF(Entradas_B!AC4="Sim",-Itens_B!$C4,Itens_B!$C4),IF(Itens_B!$D4="evidencia",IF(Entradas_B!AC4="Sim",-Itens_B!$C4,0),0))))</f>
        <v/>
      </c>
      <c r="AC6">
        <f>IF(Entradas_B!AD4="N/A",0,IF(Itens_B!$D4="risco",IF(Entradas_B!AD4=Itens_B!$E4,Itens_B!$C4,0),IF(Itens_B!$D4="mitigacao",IF(Entradas_B!AD4="Sim",-Itens_B!$C4,Itens_B!$C4),IF(Itens_B!$D4="evidencia",IF(Entradas_B!AD4="Sim",-Itens_B!$C4,0),0))))</f>
        <v/>
      </c>
      <c r="AD6">
        <f>IF(Entradas_B!AE4="N/A",0,IF(Itens_B!$D4="risco",IF(Entradas_B!AE4=Itens_B!$E4,Itens_B!$C4,0),IF(Itens_B!$D4="mitigacao",IF(Entradas_B!AE4="Sim",-Itens_B!$C4,Itens_B!$C4),IF(Itens_B!$D4="evidencia",IF(Entradas_B!AE4="Sim",-Itens_B!$C4,0),0))))</f>
        <v/>
      </c>
      <c r="AE6">
        <f>IF(Entradas_B!AF4="N/A",0,IF(Itens_B!$D4="risco",IF(Entradas_B!AF4=Itens_B!$E4,Itens_B!$C4,0),IF(Itens_B!$D4="mitigacao",IF(Entradas_B!AF4="Sim",-Itens_B!$C4,Itens_B!$C4),IF(Itens_B!$D4="evidencia",IF(Entradas_B!AF4="Sim",-Itens_B!$C4,0),0))))</f>
        <v/>
      </c>
      <c r="AF6">
        <f>IF(Entradas_B!AG4="N/A",0,IF(Itens_B!$D4="risco",IF(Entradas_B!AG4=Itens_B!$E4,Itens_B!$C4,0),IF(Itens_B!$D4="mitigacao",IF(Entradas_B!AG4="Sim",-Itens_B!$C4,Itens_B!$C4),IF(Itens_B!$D4="evidencia",IF(Entradas_B!AG4="Sim",-Itens_B!$C4,0),0))))</f>
        <v/>
      </c>
    </row>
    <row r="7">
      <c r="A7" t="inlineStr">
        <is>
          <t>P1.4</t>
        </is>
      </c>
      <c r="B7">
        <f>IF(Entradas_B!C5="N/A",0,IF(Itens_B!$D5="risco",IF(Entradas_B!C5=Itens_B!$E5,Itens_B!$C5,0),IF(Itens_B!$D5="mitigacao",IF(Entradas_B!C5="Sim",-Itens_B!$C5,Itens_B!$C5),IF(Itens_B!$D5="evidencia",IF(Entradas_B!C5="Sim",-Itens_B!$C5,0),0))))</f>
        <v/>
      </c>
      <c r="C7">
        <f>IF(Entradas_B!D5="N/A",0,IF(Itens_B!$D5="risco",IF(Entradas_B!D5=Itens_B!$E5,Itens_B!$C5,0),IF(Itens_B!$D5="mitigacao",IF(Entradas_B!D5="Sim",-Itens_B!$C5,Itens_B!$C5),IF(Itens_B!$D5="evidencia",IF(Entradas_B!D5="Sim",-Itens_B!$C5,0),0))))</f>
        <v/>
      </c>
      <c r="D7">
        <f>IF(Entradas_B!E5="N/A",0,IF(Itens_B!$D5="risco",IF(Entradas_B!E5=Itens_B!$E5,Itens_B!$C5,0),IF(Itens_B!$D5="mitigacao",IF(Entradas_B!E5="Sim",-Itens_B!$C5,Itens_B!$C5),IF(Itens_B!$D5="evidencia",IF(Entradas_B!E5="Sim",-Itens_B!$C5,0),0))))</f>
        <v/>
      </c>
      <c r="E7">
        <f>IF(Entradas_B!F5="N/A",0,IF(Itens_B!$D5="risco",IF(Entradas_B!F5=Itens_B!$E5,Itens_B!$C5,0),IF(Itens_B!$D5="mitigacao",IF(Entradas_B!F5="Sim",-Itens_B!$C5,Itens_B!$C5),IF(Itens_B!$D5="evidencia",IF(Entradas_B!F5="Sim",-Itens_B!$C5,0),0))))</f>
        <v/>
      </c>
      <c r="F7">
        <f>IF(Entradas_B!G5="N/A",0,IF(Itens_B!$D5="risco",IF(Entradas_B!G5=Itens_B!$E5,Itens_B!$C5,0),IF(Itens_B!$D5="mitigacao",IF(Entradas_B!G5="Sim",-Itens_B!$C5,Itens_B!$C5),IF(Itens_B!$D5="evidencia",IF(Entradas_B!G5="Sim",-Itens_B!$C5,0),0))))</f>
        <v/>
      </c>
      <c r="G7">
        <f>IF(Entradas_B!H5="N/A",0,IF(Itens_B!$D5="risco",IF(Entradas_B!H5=Itens_B!$E5,Itens_B!$C5,0),IF(Itens_B!$D5="mitigacao",IF(Entradas_B!H5="Sim",-Itens_B!$C5,Itens_B!$C5),IF(Itens_B!$D5="evidencia",IF(Entradas_B!H5="Sim",-Itens_B!$C5,0),0))))</f>
        <v/>
      </c>
      <c r="H7">
        <f>IF(Entradas_B!I5="N/A",0,IF(Itens_B!$D5="risco",IF(Entradas_B!I5=Itens_B!$E5,Itens_B!$C5,0),IF(Itens_B!$D5="mitigacao",IF(Entradas_B!I5="Sim",-Itens_B!$C5,Itens_B!$C5),IF(Itens_B!$D5="evidencia",IF(Entradas_B!I5="Sim",-Itens_B!$C5,0),0))))</f>
        <v/>
      </c>
      <c r="I7">
        <f>IF(Entradas_B!J5="N/A",0,IF(Itens_B!$D5="risco",IF(Entradas_B!J5=Itens_B!$E5,Itens_B!$C5,0),IF(Itens_B!$D5="mitigacao",IF(Entradas_B!J5="Sim",-Itens_B!$C5,Itens_B!$C5),IF(Itens_B!$D5="evidencia",IF(Entradas_B!J5="Sim",-Itens_B!$C5,0),0))))</f>
        <v/>
      </c>
      <c r="J7">
        <f>IF(Entradas_B!K5="N/A",0,IF(Itens_B!$D5="risco",IF(Entradas_B!K5=Itens_B!$E5,Itens_B!$C5,0),IF(Itens_B!$D5="mitigacao",IF(Entradas_B!K5="Sim",-Itens_B!$C5,Itens_B!$C5),IF(Itens_B!$D5="evidencia",IF(Entradas_B!K5="Sim",-Itens_B!$C5,0),0))))</f>
        <v/>
      </c>
      <c r="K7">
        <f>IF(Entradas_B!L5="N/A",0,IF(Itens_B!$D5="risco",IF(Entradas_B!L5=Itens_B!$E5,Itens_B!$C5,0),IF(Itens_B!$D5="mitigacao",IF(Entradas_B!L5="Sim",-Itens_B!$C5,Itens_B!$C5),IF(Itens_B!$D5="evidencia",IF(Entradas_B!L5="Sim",-Itens_B!$C5,0),0))))</f>
        <v/>
      </c>
      <c r="L7">
        <f>IF(Entradas_B!M5="N/A",0,IF(Itens_B!$D5="risco",IF(Entradas_B!M5=Itens_B!$E5,Itens_B!$C5,0),IF(Itens_B!$D5="mitigacao",IF(Entradas_B!M5="Sim",-Itens_B!$C5,Itens_B!$C5),IF(Itens_B!$D5="evidencia",IF(Entradas_B!M5="Sim",-Itens_B!$C5,0),0))))</f>
        <v/>
      </c>
      <c r="M7">
        <f>IF(Entradas_B!N5="N/A",0,IF(Itens_B!$D5="risco",IF(Entradas_B!N5=Itens_B!$E5,Itens_B!$C5,0),IF(Itens_B!$D5="mitigacao",IF(Entradas_B!N5="Sim",-Itens_B!$C5,Itens_B!$C5),IF(Itens_B!$D5="evidencia",IF(Entradas_B!N5="Sim",-Itens_B!$C5,0),0))))</f>
        <v/>
      </c>
      <c r="N7">
        <f>IF(Entradas_B!O5="N/A",0,IF(Itens_B!$D5="risco",IF(Entradas_B!O5=Itens_B!$E5,Itens_B!$C5,0),IF(Itens_B!$D5="mitigacao",IF(Entradas_B!O5="Sim",-Itens_B!$C5,Itens_B!$C5),IF(Itens_B!$D5="evidencia",IF(Entradas_B!O5="Sim",-Itens_B!$C5,0),0))))</f>
        <v/>
      </c>
      <c r="O7">
        <f>IF(Entradas_B!P5="N/A",0,IF(Itens_B!$D5="risco",IF(Entradas_B!P5=Itens_B!$E5,Itens_B!$C5,0),IF(Itens_B!$D5="mitigacao",IF(Entradas_B!P5="Sim",-Itens_B!$C5,Itens_B!$C5),IF(Itens_B!$D5="evidencia",IF(Entradas_B!P5="Sim",-Itens_B!$C5,0),0))))</f>
        <v/>
      </c>
      <c r="P7">
        <f>IF(Entradas_B!Q5="N/A",0,IF(Itens_B!$D5="risco",IF(Entradas_B!Q5=Itens_B!$E5,Itens_B!$C5,0),IF(Itens_B!$D5="mitigacao",IF(Entradas_B!Q5="Sim",-Itens_B!$C5,Itens_B!$C5),IF(Itens_B!$D5="evidencia",IF(Entradas_B!Q5="Sim",-Itens_B!$C5,0),0))))</f>
        <v/>
      </c>
      <c r="Q7">
        <f>IF(Entradas_B!R5="N/A",0,IF(Itens_B!$D5="risco",IF(Entradas_B!R5=Itens_B!$E5,Itens_B!$C5,0),IF(Itens_B!$D5="mitigacao",IF(Entradas_B!R5="Sim",-Itens_B!$C5,Itens_B!$C5),IF(Itens_B!$D5="evidencia",IF(Entradas_B!R5="Sim",-Itens_B!$C5,0),0))))</f>
        <v/>
      </c>
      <c r="R7">
        <f>IF(Entradas_B!S5="N/A",0,IF(Itens_B!$D5="risco",IF(Entradas_B!S5=Itens_B!$E5,Itens_B!$C5,0),IF(Itens_B!$D5="mitigacao",IF(Entradas_B!S5="Sim",-Itens_B!$C5,Itens_B!$C5),IF(Itens_B!$D5="evidencia",IF(Entradas_B!S5="Sim",-Itens_B!$C5,0),0))))</f>
        <v/>
      </c>
      <c r="S7">
        <f>IF(Entradas_B!T5="N/A",0,IF(Itens_B!$D5="risco",IF(Entradas_B!T5=Itens_B!$E5,Itens_B!$C5,0),IF(Itens_B!$D5="mitigacao",IF(Entradas_B!T5="Sim",-Itens_B!$C5,Itens_B!$C5),IF(Itens_B!$D5="evidencia",IF(Entradas_B!T5="Sim",-Itens_B!$C5,0),0))))</f>
        <v/>
      </c>
      <c r="T7">
        <f>IF(Entradas_B!U5="N/A",0,IF(Itens_B!$D5="risco",IF(Entradas_B!U5=Itens_B!$E5,Itens_B!$C5,0),IF(Itens_B!$D5="mitigacao",IF(Entradas_B!U5="Sim",-Itens_B!$C5,Itens_B!$C5),IF(Itens_B!$D5="evidencia",IF(Entradas_B!U5="Sim",-Itens_B!$C5,0),0))))</f>
        <v/>
      </c>
      <c r="U7">
        <f>IF(Entradas_B!V5="N/A",0,IF(Itens_B!$D5="risco",IF(Entradas_B!V5=Itens_B!$E5,Itens_B!$C5,0),IF(Itens_B!$D5="mitigacao",IF(Entradas_B!V5="Sim",-Itens_B!$C5,Itens_B!$C5),IF(Itens_B!$D5="evidencia",IF(Entradas_B!V5="Sim",-Itens_B!$C5,0),0))))</f>
        <v/>
      </c>
      <c r="V7">
        <f>IF(Entradas_B!W5="N/A",0,IF(Itens_B!$D5="risco",IF(Entradas_B!W5=Itens_B!$E5,Itens_B!$C5,0),IF(Itens_B!$D5="mitigacao",IF(Entradas_B!W5="Sim",-Itens_B!$C5,Itens_B!$C5),IF(Itens_B!$D5="evidencia",IF(Entradas_B!W5="Sim",-Itens_B!$C5,0),0))))</f>
        <v/>
      </c>
      <c r="W7">
        <f>IF(Entradas_B!X5="N/A",0,IF(Itens_B!$D5="risco",IF(Entradas_B!X5=Itens_B!$E5,Itens_B!$C5,0),IF(Itens_B!$D5="mitigacao",IF(Entradas_B!X5="Sim",-Itens_B!$C5,Itens_B!$C5),IF(Itens_B!$D5="evidencia",IF(Entradas_B!X5="Sim",-Itens_B!$C5,0),0))))</f>
        <v/>
      </c>
      <c r="X7">
        <f>IF(Entradas_B!Y5="N/A",0,IF(Itens_B!$D5="risco",IF(Entradas_B!Y5=Itens_B!$E5,Itens_B!$C5,0),IF(Itens_B!$D5="mitigacao",IF(Entradas_B!Y5="Sim",-Itens_B!$C5,Itens_B!$C5),IF(Itens_B!$D5="evidencia",IF(Entradas_B!Y5="Sim",-Itens_B!$C5,0),0))))</f>
        <v/>
      </c>
      <c r="Y7">
        <f>IF(Entradas_B!Z5="N/A",0,IF(Itens_B!$D5="risco",IF(Entradas_B!Z5=Itens_B!$E5,Itens_B!$C5,0),IF(Itens_B!$D5="mitigacao",IF(Entradas_B!Z5="Sim",-Itens_B!$C5,Itens_B!$C5),IF(Itens_B!$D5="evidencia",IF(Entradas_B!Z5="Sim",-Itens_B!$C5,0),0))))</f>
        <v/>
      </c>
      <c r="Z7">
        <f>IF(Entradas_B!AA5="N/A",0,IF(Itens_B!$D5="risco",IF(Entradas_B!AA5=Itens_B!$E5,Itens_B!$C5,0),IF(Itens_B!$D5="mitigacao",IF(Entradas_B!AA5="Sim",-Itens_B!$C5,Itens_B!$C5),IF(Itens_B!$D5="evidencia",IF(Entradas_B!AA5="Sim",-Itens_B!$C5,0),0))))</f>
        <v/>
      </c>
      <c r="AA7">
        <f>IF(Entradas_B!AB5="N/A",0,IF(Itens_B!$D5="risco",IF(Entradas_B!AB5=Itens_B!$E5,Itens_B!$C5,0),IF(Itens_B!$D5="mitigacao",IF(Entradas_B!AB5="Sim",-Itens_B!$C5,Itens_B!$C5),IF(Itens_B!$D5="evidencia",IF(Entradas_B!AB5="Sim",-Itens_B!$C5,0),0))))</f>
        <v/>
      </c>
      <c r="AB7">
        <f>IF(Entradas_B!AC5="N/A",0,IF(Itens_B!$D5="risco",IF(Entradas_B!AC5=Itens_B!$E5,Itens_B!$C5,0),IF(Itens_B!$D5="mitigacao",IF(Entradas_B!AC5="Sim",-Itens_B!$C5,Itens_B!$C5),IF(Itens_B!$D5="evidencia",IF(Entradas_B!AC5="Sim",-Itens_B!$C5,0),0))))</f>
        <v/>
      </c>
      <c r="AC7">
        <f>IF(Entradas_B!AD5="N/A",0,IF(Itens_B!$D5="risco",IF(Entradas_B!AD5=Itens_B!$E5,Itens_B!$C5,0),IF(Itens_B!$D5="mitigacao",IF(Entradas_B!AD5="Sim",-Itens_B!$C5,Itens_B!$C5),IF(Itens_B!$D5="evidencia",IF(Entradas_B!AD5="Sim",-Itens_B!$C5,0),0))))</f>
        <v/>
      </c>
      <c r="AD7">
        <f>IF(Entradas_B!AE5="N/A",0,IF(Itens_B!$D5="risco",IF(Entradas_B!AE5=Itens_B!$E5,Itens_B!$C5,0),IF(Itens_B!$D5="mitigacao",IF(Entradas_B!AE5="Sim",-Itens_B!$C5,Itens_B!$C5),IF(Itens_B!$D5="evidencia",IF(Entradas_B!AE5="Sim",-Itens_B!$C5,0),0))))</f>
        <v/>
      </c>
      <c r="AE7">
        <f>IF(Entradas_B!AF5="N/A",0,IF(Itens_B!$D5="risco",IF(Entradas_B!AF5=Itens_B!$E5,Itens_B!$C5,0),IF(Itens_B!$D5="mitigacao",IF(Entradas_B!AF5="Sim",-Itens_B!$C5,Itens_B!$C5),IF(Itens_B!$D5="evidencia",IF(Entradas_B!AF5="Sim",-Itens_B!$C5,0),0))))</f>
        <v/>
      </c>
      <c r="AF7">
        <f>IF(Entradas_B!AG5="N/A",0,IF(Itens_B!$D5="risco",IF(Entradas_B!AG5=Itens_B!$E5,Itens_B!$C5,0),IF(Itens_B!$D5="mitigacao",IF(Entradas_B!AG5="Sim",-Itens_B!$C5,Itens_B!$C5),IF(Itens_B!$D5="evidencia",IF(Entradas_B!AG5="Sim",-Itens_B!$C5,0),0))))</f>
        <v/>
      </c>
    </row>
    <row r="8">
      <c r="A8" t="inlineStr">
        <is>
          <t>P1.5</t>
        </is>
      </c>
      <c r="B8">
        <f>IF(Entradas_B!C6="N/A",0,IF(Itens_B!$D6="risco",IF(Entradas_B!C6=Itens_B!$E6,Itens_B!$C6,0),IF(Itens_B!$D6="mitigacao",IF(Entradas_B!C6="Sim",-Itens_B!$C6,Itens_B!$C6),IF(Itens_B!$D6="evidencia",IF(Entradas_B!C6="Sim",-Itens_B!$C6,0),0))))</f>
        <v/>
      </c>
      <c r="C8">
        <f>IF(Entradas_B!D6="N/A",0,IF(Itens_B!$D6="risco",IF(Entradas_B!D6=Itens_B!$E6,Itens_B!$C6,0),IF(Itens_B!$D6="mitigacao",IF(Entradas_B!D6="Sim",-Itens_B!$C6,Itens_B!$C6),IF(Itens_B!$D6="evidencia",IF(Entradas_B!D6="Sim",-Itens_B!$C6,0),0))))</f>
        <v/>
      </c>
      <c r="D8">
        <f>IF(Entradas_B!E6="N/A",0,IF(Itens_B!$D6="risco",IF(Entradas_B!E6=Itens_B!$E6,Itens_B!$C6,0),IF(Itens_B!$D6="mitigacao",IF(Entradas_B!E6="Sim",-Itens_B!$C6,Itens_B!$C6),IF(Itens_B!$D6="evidencia",IF(Entradas_B!E6="Sim",-Itens_B!$C6,0),0))))</f>
        <v/>
      </c>
      <c r="E8">
        <f>IF(Entradas_B!F6="N/A",0,IF(Itens_B!$D6="risco",IF(Entradas_B!F6=Itens_B!$E6,Itens_B!$C6,0),IF(Itens_B!$D6="mitigacao",IF(Entradas_B!F6="Sim",-Itens_B!$C6,Itens_B!$C6),IF(Itens_B!$D6="evidencia",IF(Entradas_B!F6="Sim",-Itens_B!$C6,0),0))))</f>
        <v/>
      </c>
      <c r="F8">
        <f>IF(Entradas_B!G6="N/A",0,IF(Itens_B!$D6="risco",IF(Entradas_B!G6=Itens_B!$E6,Itens_B!$C6,0),IF(Itens_B!$D6="mitigacao",IF(Entradas_B!G6="Sim",-Itens_B!$C6,Itens_B!$C6),IF(Itens_B!$D6="evidencia",IF(Entradas_B!G6="Sim",-Itens_B!$C6,0),0))))</f>
        <v/>
      </c>
      <c r="G8">
        <f>IF(Entradas_B!H6="N/A",0,IF(Itens_B!$D6="risco",IF(Entradas_B!H6=Itens_B!$E6,Itens_B!$C6,0),IF(Itens_B!$D6="mitigacao",IF(Entradas_B!H6="Sim",-Itens_B!$C6,Itens_B!$C6),IF(Itens_B!$D6="evidencia",IF(Entradas_B!H6="Sim",-Itens_B!$C6,0),0))))</f>
        <v/>
      </c>
      <c r="H8">
        <f>IF(Entradas_B!I6="N/A",0,IF(Itens_B!$D6="risco",IF(Entradas_B!I6=Itens_B!$E6,Itens_B!$C6,0),IF(Itens_B!$D6="mitigacao",IF(Entradas_B!I6="Sim",-Itens_B!$C6,Itens_B!$C6),IF(Itens_B!$D6="evidencia",IF(Entradas_B!I6="Sim",-Itens_B!$C6,0),0))))</f>
        <v/>
      </c>
      <c r="I8">
        <f>IF(Entradas_B!J6="N/A",0,IF(Itens_B!$D6="risco",IF(Entradas_B!J6=Itens_B!$E6,Itens_B!$C6,0),IF(Itens_B!$D6="mitigacao",IF(Entradas_B!J6="Sim",-Itens_B!$C6,Itens_B!$C6),IF(Itens_B!$D6="evidencia",IF(Entradas_B!J6="Sim",-Itens_B!$C6,0),0))))</f>
        <v/>
      </c>
      <c r="J8">
        <f>IF(Entradas_B!K6="N/A",0,IF(Itens_B!$D6="risco",IF(Entradas_B!K6=Itens_B!$E6,Itens_B!$C6,0),IF(Itens_B!$D6="mitigacao",IF(Entradas_B!K6="Sim",-Itens_B!$C6,Itens_B!$C6),IF(Itens_B!$D6="evidencia",IF(Entradas_B!K6="Sim",-Itens_B!$C6,0),0))))</f>
        <v/>
      </c>
      <c r="K8">
        <f>IF(Entradas_B!L6="N/A",0,IF(Itens_B!$D6="risco",IF(Entradas_B!L6=Itens_B!$E6,Itens_B!$C6,0),IF(Itens_B!$D6="mitigacao",IF(Entradas_B!L6="Sim",-Itens_B!$C6,Itens_B!$C6),IF(Itens_B!$D6="evidencia",IF(Entradas_B!L6="Sim",-Itens_B!$C6,0),0))))</f>
        <v/>
      </c>
      <c r="L8">
        <f>IF(Entradas_B!M6="N/A",0,IF(Itens_B!$D6="risco",IF(Entradas_B!M6=Itens_B!$E6,Itens_B!$C6,0),IF(Itens_B!$D6="mitigacao",IF(Entradas_B!M6="Sim",-Itens_B!$C6,Itens_B!$C6),IF(Itens_B!$D6="evidencia",IF(Entradas_B!M6="Sim",-Itens_B!$C6,0),0))))</f>
        <v/>
      </c>
      <c r="M8">
        <f>IF(Entradas_B!N6="N/A",0,IF(Itens_B!$D6="risco",IF(Entradas_B!N6=Itens_B!$E6,Itens_B!$C6,0),IF(Itens_B!$D6="mitigacao",IF(Entradas_B!N6="Sim",-Itens_B!$C6,Itens_B!$C6),IF(Itens_B!$D6="evidencia",IF(Entradas_B!N6="Sim",-Itens_B!$C6,0),0))))</f>
        <v/>
      </c>
      <c r="N8">
        <f>IF(Entradas_B!O6="N/A",0,IF(Itens_B!$D6="risco",IF(Entradas_B!O6=Itens_B!$E6,Itens_B!$C6,0),IF(Itens_B!$D6="mitigacao",IF(Entradas_B!O6="Sim",-Itens_B!$C6,Itens_B!$C6),IF(Itens_B!$D6="evidencia",IF(Entradas_B!O6="Sim",-Itens_B!$C6,0),0))))</f>
        <v/>
      </c>
      <c r="O8">
        <f>IF(Entradas_B!P6="N/A",0,IF(Itens_B!$D6="risco",IF(Entradas_B!P6=Itens_B!$E6,Itens_B!$C6,0),IF(Itens_B!$D6="mitigacao",IF(Entradas_B!P6="Sim",-Itens_B!$C6,Itens_B!$C6),IF(Itens_B!$D6="evidencia",IF(Entradas_B!P6="Sim",-Itens_B!$C6,0),0))))</f>
        <v/>
      </c>
      <c r="P8">
        <f>IF(Entradas_B!Q6="N/A",0,IF(Itens_B!$D6="risco",IF(Entradas_B!Q6=Itens_B!$E6,Itens_B!$C6,0),IF(Itens_B!$D6="mitigacao",IF(Entradas_B!Q6="Sim",-Itens_B!$C6,Itens_B!$C6),IF(Itens_B!$D6="evidencia",IF(Entradas_B!Q6="Sim",-Itens_B!$C6,0),0))))</f>
        <v/>
      </c>
      <c r="Q8">
        <f>IF(Entradas_B!R6="N/A",0,IF(Itens_B!$D6="risco",IF(Entradas_B!R6=Itens_B!$E6,Itens_B!$C6,0),IF(Itens_B!$D6="mitigacao",IF(Entradas_B!R6="Sim",-Itens_B!$C6,Itens_B!$C6),IF(Itens_B!$D6="evidencia",IF(Entradas_B!R6="Sim",-Itens_B!$C6,0),0))))</f>
        <v/>
      </c>
      <c r="R8">
        <f>IF(Entradas_B!S6="N/A",0,IF(Itens_B!$D6="risco",IF(Entradas_B!S6=Itens_B!$E6,Itens_B!$C6,0),IF(Itens_B!$D6="mitigacao",IF(Entradas_B!S6="Sim",-Itens_B!$C6,Itens_B!$C6),IF(Itens_B!$D6="evidencia",IF(Entradas_B!S6="Sim",-Itens_B!$C6,0),0))))</f>
        <v/>
      </c>
      <c r="S8">
        <f>IF(Entradas_B!T6="N/A",0,IF(Itens_B!$D6="risco",IF(Entradas_B!T6=Itens_B!$E6,Itens_B!$C6,0),IF(Itens_B!$D6="mitigacao",IF(Entradas_B!T6="Sim",-Itens_B!$C6,Itens_B!$C6),IF(Itens_B!$D6="evidencia",IF(Entradas_B!T6="Sim",-Itens_B!$C6,0),0))))</f>
        <v/>
      </c>
      <c r="T8">
        <f>IF(Entradas_B!U6="N/A",0,IF(Itens_B!$D6="risco",IF(Entradas_B!U6=Itens_B!$E6,Itens_B!$C6,0),IF(Itens_B!$D6="mitigacao",IF(Entradas_B!U6="Sim",-Itens_B!$C6,Itens_B!$C6),IF(Itens_B!$D6="evidencia",IF(Entradas_B!U6="Sim",-Itens_B!$C6,0),0))))</f>
        <v/>
      </c>
      <c r="U8">
        <f>IF(Entradas_B!V6="N/A",0,IF(Itens_B!$D6="risco",IF(Entradas_B!V6=Itens_B!$E6,Itens_B!$C6,0),IF(Itens_B!$D6="mitigacao",IF(Entradas_B!V6="Sim",-Itens_B!$C6,Itens_B!$C6),IF(Itens_B!$D6="evidencia",IF(Entradas_B!V6="Sim",-Itens_B!$C6,0),0))))</f>
        <v/>
      </c>
      <c r="V8">
        <f>IF(Entradas_B!W6="N/A",0,IF(Itens_B!$D6="risco",IF(Entradas_B!W6=Itens_B!$E6,Itens_B!$C6,0),IF(Itens_B!$D6="mitigacao",IF(Entradas_B!W6="Sim",-Itens_B!$C6,Itens_B!$C6),IF(Itens_B!$D6="evidencia",IF(Entradas_B!W6="Sim",-Itens_B!$C6,0),0))))</f>
        <v/>
      </c>
      <c r="W8">
        <f>IF(Entradas_B!X6="N/A",0,IF(Itens_B!$D6="risco",IF(Entradas_B!X6=Itens_B!$E6,Itens_B!$C6,0),IF(Itens_B!$D6="mitigacao",IF(Entradas_B!X6="Sim",-Itens_B!$C6,Itens_B!$C6),IF(Itens_B!$D6="evidencia",IF(Entradas_B!X6="Sim",-Itens_B!$C6,0),0))))</f>
        <v/>
      </c>
      <c r="X8">
        <f>IF(Entradas_B!Y6="N/A",0,IF(Itens_B!$D6="risco",IF(Entradas_B!Y6=Itens_B!$E6,Itens_B!$C6,0),IF(Itens_B!$D6="mitigacao",IF(Entradas_B!Y6="Sim",-Itens_B!$C6,Itens_B!$C6),IF(Itens_B!$D6="evidencia",IF(Entradas_B!Y6="Sim",-Itens_B!$C6,0),0))))</f>
        <v/>
      </c>
      <c r="Y8">
        <f>IF(Entradas_B!Z6="N/A",0,IF(Itens_B!$D6="risco",IF(Entradas_B!Z6=Itens_B!$E6,Itens_B!$C6,0),IF(Itens_B!$D6="mitigacao",IF(Entradas_B!Z6="Sim",-Itens_B!$C6,Itens_B!$C6),IF(Itens_B!$D6="evidencia",IF(Entradas_B!Z6="Sim",-Itens_B!$C6,0),0))))</f>
        <v/>
      </c>
      <c r="Z8">
        <f>IF(Entradas_B!AA6="N/A",0,IF(Itens_B!$D6="risco",IF(Entradas_B!AA6=Itens_B!$E6,Itens_B!$C6,0),IF(Itens_B!$D6="mitigacao",IF(Entradas_B!AA6="Sim",-Itens_B!$C6,Itens_B!$C6),IF(Itens_B!$D6="evidencia",IF(Entradas_B!AA6="Sim",-Itens_B!$C6,0),0))))</f>
        <v/>
      </c>
      <c r="AA8">
        <f>IF(Entradas_B!AB6="N/A",0,IF(Itens_B!$D6="risco",IF(Entradas_B!AB6=Itens_B!$E6,Itens_B!$C6,0),IF(Itens_B!$D6="mitigacao",IF(Entradas_B!AB6="Sim",-Itens_B!$C6,Itens_B!$C6),IF(Itens_B!$D6="evidencia",IF(Entradas_B!AB6="Sim",-Itens_B!$C6,0),0))))</f>
        <v/>
      </c>
      <c r="AB8">
        <f>IF(Entradas_B!AC6="N/A",0,IF(Itens_B!$D6="risco",IF(Entradas_B!AC6=Itens_B!$E6,Itens_B!$C6,0),IF(Itens_B!$D6="mitigacao",IF(Entradas_B!AC6="Sim",-Itens_B!$C6,Itens_B!$C6),IF(Itens_B!$D6="evidencia",IF(Entradas_B!AC6="Sim",-Itens_B!$C6,0),0))))</f>
        <v/>
      </c>
      <c r="AC8">
        <f>IF(Entradas_B!AD6="N/A",0,IF(Itens_B!$D6="risco",IF(Entradas_B!AD6=Itens_B!$E6,Itens_B!$C6,0),IF(Itens_B!$D6="mitigacao",IF(Entradas_B!AD6="Sim",-Itens_B!$C6,Itens_B!$C6),IF(Itens_B!$D6="evidencia",IF(Entradas_B!AD6="Sim",-Itens_B!$C6,0),0))))</f>
        <v/>
      </c>
      <c r="AD8">
        <f>IF(Entradas_B!AE6="N/A",0,IF(Itens_B!$D6="risco",IF(Entradas_B!AE6=Itens_B!$E6,Itens_B!$C6,0),IF(Itens_B!$D6="mitigacao",IF(Entradas_B!AE6="Sim",-Itens_B!$C6,Itens_B!$C6),IF(Itens_B!$D6="evidencia",IF(Entradas_B!AE6="Sim",-Itens_B!$C6,0),0))))</f>
        <v/>
      </c>
      <c r="AE8">
        <f>IF(Entradas_B!AF6="N/A",0,IF(Itens_B!$D6="risco",IF(Entradas_B!AF6=Itens_B!$E6,Itens_B!$C6,0),IF(Itens_B!$D6="mitigacao",IF(Entradas_B!AF6="Sim",-Itens_B!$C6,Itens_B!$C6),IF(Itens_B!$D6="evidencia",IF(Entradas_B!AF6="Sim",-Itens_B!$C6,0),0))))</f>
        <v/>
      </c>
      <c r="AF8">
        <f>IF(Entradas_B!AG6="N/A",0,IF(Itens_B!$D6="risco",IF(Entradas_B!AG6=Itens_B!$E6,Itens_B!$C6,0),IF(Itens_B!$D6="mitigacao",IF(Entradas_B!AG6="Sim",-Itens_B!$C6,Itens_B!$C6),IF(Itens_B!$D6="evidencia",IF(Entradas_B!AG6="Sim",-Itens_B!$C6,0),0))))</f>
        <v/>
      </c>
    </row>
    <row r="9">
      <c r="A9" t="inlineStr">
        <is>
          <t>P1.6</t>
        </is>
      </c>
      <c r="B9">
        <f>IF(Entradas_B!C7="N/A",0,IF(Itens_B!$D7="risco",IF(Entradas_B!C7=Itens_B!$E7,Itens_B!$C7,0),IF(Itens_B!$D7="mitigacao",IF(Entradas_B!C7="Sim",-Itens_B!$C7,Itens_B!$C7),IF(Itens_B!$D7="evidencia",IF(Entradas_B!C7="Sim",-Itens_B!$C7,0),0))))</f>
        <v/>
      </c>
      <c r="C9">
        <f>IF(Entradas_B!D7="N/A",0,IF(Itens_B!$D7="risco",IF(Entradas_B!D7=Itens_B!$E7,Itens_B!$C7,0),IF(Itens_B!$D7="mitigacao",IF(Entradas_B!D7="Sim",-Itens_B!$C7,Itens_B!$C7),IF(Itens_B!$D7="evidencia",IF(Entradas_B!D7="Sim",-Itens_B!$C7,0),0))))</f>
        <v/>
      </c>
      <c r="D9">
        <f>IF(Entradas_B!E7="N/A",0,IF(Itens_B!$D7="risco",IF(Entradas_B!E7=Itens_B!$E7,Itens_B!$C7,0),IF(Itens_B!$D7="mitigacao",IF(Entradas_B!E7="Sim",-Itens_B!$C7,Itens_B!$C7),IF(Itens_B!$D7="evidencia",IF(Entradas_B!E7="Sim",-Itens_B!$C7,0),0))))</f>
        <v/>
      </c>
      <c r="E9">
        <f>IF(Entradas_B!F7="N/A",0,IF(Itens_B!$D7="risco",IF(Entradas_B!F7=Itens_B!$E7,Itens_B!$C7,0),IF(Itens_B!$D7="mitigacao",IF(Entradas_B!F7="Sim",-Itens_B!$C7,Itens_B!$C7),IF(Itens_B!$D7="evidencia",IF(Entradas_B!F7="Sim",-Itens_B!$C7,0),0))))</f>
        <v/>
      </c>
      <c r="F9">
        <f>IF(Entradas_B!G7="N/A",0,IF(Itens_B!$D7="risco",IF(Entradas_B!G7=Itens_B!$E7,Itens_B!$C7,0),IF(Itens_B!$D7="mitigacao",IF(Entradas_B!G7="Sim",-Itens_B!$C7,Itens_B!$C7),IF(Itens_B!$D7="evidencia",IF(Entradas_B!G7="Sim",-Itens_B!$C7,0),0))))</f>
        <v/>
      </c>
      <c r="G9">
        <f>IF(Entradas_B!H7="N/A",0,IF(Itens_B!$D7="risco",IF(Entradas_B!H7=Itens_B!$E7,Itens_B!$C7,0),IF(Itens_B!$D7="mitigacao",IF(Entradas_B!H7="Sim",-Itens_B!$C7,Itens_B!$C7),IF(Itens_B!$D7="evidencia",IF(Entradas_B!H7="Sim",-Itens_B!$C7,0),0))))</f>
        <v/>
      </c>
      <c r="H9">
        <f>IF(Entradas_B!I7="N/A",0,IF(Itens_B!$D7="risco",IF(Entradas_B!I7=Itens_B!$E7,Itens_B!$C7,0),IF(Itens_B!$D7="mitigacao",IF(Entradas_B!I7="Sim",-Itens_B!$C7,Itens_B!$C7),IF(Itens_B!$D7="evidencia",IF(Entradas_B!I7="Sim",-Itens_B!$C7,0),0))))</f>
        <v/>
      </c>
      <c r="I9">
        <f>IF(Entradas_B!J7="N/A",0,IF(Itens_B!$D7="risco",IF(Entradas_B!J7=Itens_B!$E7,Itens_B!$C7,0),IF(Itens_B!$D7="mitigacao",IF(Entradas_B!J7="Sim",-Itens_B!$C7,Itens_B!$C7),IF(Itens_B!$D7="evidencia",IF(Entradas_B!J7="Sim",-Itens_B!$C7,0),0))))</f>
        <v/>
      </c>
      <c r="J9">
        <f>IF(Entradas_B!K7="N/A",0,IF(Itens_B!$D7="risco",IF(Entradas_B!K7=Itens_B!$E7,Itens_B!$C7,0),IF(Itens_B!$D7="mitigacao",IF(Entradas_B!K7="Sim",-Itens_B!$C7,Itens_B!$C7),IF(Itens_B!$D7="evidencia",IF(Entradas_B!K7="Sim",-Itens_B!$C7,0),0))))</f>
        <v/>
      </c>
      <c r="K9">
        <f>IF(Entradas_B!L7="N/A",0,IF(Itens_B!$D7="risco",IF(Entradas_B!L7=Itens_B!$E7,Itens_B!$C7,0),IF(Itens_B!$D7="mitigacao",IF(Entradas_B!L7="Sim",-Itens_B!$C7,Itens_B!$C7),IF(Itens_B!$D7="evidencia",IF(Entradas_B!L7="Sim",-Itens_B!$C7,0),0))))</f>
        <v/>
      </c>
      <c r="L9">
        <f>IF(Entradas_B!M7="N/A",0,IF(Itens_B!$D7="risco",IF(Entradas_B!M7=Itens_B!$E7,Itens_B!$C7,0),IF(Itens_B!$D7="mitigacao",IF(Entradas_B!M7="Sim",-Itens_B!$C7,Itens_B!$C7),IF(Itens_B!$D7="evidencia",IF(Entradas_B!M7="Sim",-Itens_B!$C7,0),0))))</f>
        <v/>
      </c>
      <c r="M9">
        <f>IF(Entradas_B!N7="N/A",0,IF(Itens_B!$D7="risco",IF(Entradas_B!N7=Itens_B!$E7,Itens_B!$C7,0),IF(Itens_B!$D7="mitigacao",IF(Entradas_B!N7="Sim",-Itens_B!$C7,Itens_B!$C7),IF(Itens_B!$D7="evidencia",IF(Entradas_B!N7="Sim",-Itens_B!$C7,0),0))))</f>
        <v/>
      </c>
      <c r="N9">
        <f>IF(Entradas_B!O7="N/A",0,IF(Itens_B!$D7="risco",IF(Entradas_B!O7=Itens_B!$E7,Itens_B!$C7,0),IF(Itens_B!$D7="mitigacao",IF(Entradas_B!O7="Sim",-Itens_B!$C7,Itens_B!$C7),IF(Itens_B!$D7="evidencia",IF(Entradas_B!O7="Sim",-Itens_B!$C7,0),0))))</f>
        <v/>
      </c>
      <c r="O9">
        <f>IF(Entradas_B!P7="N/A",0,IF(Itens_B!$D7="risco",IF(Entradas_B!P7=Itens_B!$E7,Itens_B!$C7,0),IF(Itens_B!$D7="mitigacao",IF(Entradas_B!P7="Sim",-Itens_B!$C7,Itens_B!$C7),IF(Itens_B!$D7="evidencia",IF(Entradas_B!P7="Sim",-Itens_B!$C7,0),0))))</f>
        <v/>
      </c>
      <c r="P9">
        <f>IF(Entradas_B!Q7="N/A",0,IF(Itens_B!$D7="risco",IF(Entradas_B!Q7=Itens_B!$E7,Itens_B!$C7,0),IF(Itens_B!$D7="mitigacao",IF(Entradas_B!Q7="Sim",-Itens_B!$C7,Itens_B!$C7),IF(Itens_B!$D7="evidencia",IF(Entradas_B!Q7="Sim",-Itens_B!$C7,0),0))))</f>
        <v/>
      </c>
      <c r="Q9">
        <f>IF(Entradas_B!R7="N/A",0,IF(Itens_B!$D7="risco",IF(Entradas_B!R7=Itens_B!$E7,Itens_B!$C7,0),IF(Itens_B!$D7="mitigacao",IF(Entradas_B!R7="Sim",-Itens_B!$C7,Itens_B!$C7),IF(Itens_B!$D7="evidencia",IF(Entradas_B!R7="Sim",-Itens_B!$C7,0),0))))</f>
        <v/>
      </c>
      <c r="R9">
        <f>IF(Entradas_B!S7="N/A",0,IF(Itens_B!$D7="risco",IF(Entradas_B!S7=Itens_B!$E7,Itens_B!$C7,0),IF(Itens_B!$D7="mitigacao",IF(Entradas_B!S7="Sim",-Itens_B!$C7,Itens_B!$C7),IF(Itens_B!$D7="evidencia",IF(Entradas_B!S7="Sim",-Itens_B!$C7,0),0))))</f>
        <v/>
      </c>
      <c r="S9">
        <f>IF(Entradas_B!T7="N/A",0,IF(Itens_B!$D7="risco",IF(Entradas_B!T7=Itens_B!$E7,Itens_B!$C7,0),IF(Itens_B!$D7="mitigacao",IF(Entradas_B!T7="Sim",-Itens_B!$C7,Itens_B!$C7),IF(Itens_B!$D7="evidencia",IF(Entradas_B!T7="Sim",-Itens_B!$C7,0),0))))</f>
        <v/>
      </c>
      <c r="T9">
        <f>IF(Entradas_B!U7="N/A",0,IF(Itens_B!$D7="risco",IF(Entradas_B!U7=Itens_B!$E7,Itens_B!$C7,0),IF(Itens_B!$D7="mitigacao",IF(Entradas_B!U7="Sim",-Itens_B!$C7,Itens_B!$C7),IF(Itens_B!$D7="evidencia",IF(Entradas_B!U7="Sim",-Itens_B!$C7,0),0))))</f>
        <v/>
      </c>
      <c r="U9">
        <f>IF(Entradas_B!V7="N/A",0,IF(Itens_B!$D7="risco",IF(Entradas_B!V7=Itens_B!$E7,Itens_B!$C7,0),IF(Itens_B!$D7="mitigacao",IF(Entradas_B!V7="Sim",-Itens_B!$C7,Itens_B!$C7),IF(Itens_B!$D7="evidencia",IF(Entradas_B!V7="Sim",-Itens_B!$C7,0),0))))</f>
        <v/>
      </c>
      <c r="V9">
        <f>IF(Entradas_B!W7="N/A",0,IF(Itens_B!$D7="risco",IF(Entradas_B!W7=Itens_B!$E7,Itens_B!$C7,0),IF(Itens_B!$D7="mitigacao",IF(Entradas_B!W7="Sim",-Itens_B!$C7,Itens_B!$C7),IF(Itens_B!$D7="evidencia",IF(Entradas_B!W7="Sim",-Itens_B!$C7,0),0))))</f>
        <v/>
      </c>
      <c r="W9">
        <f>IF(Entradas_B!X7="N/A",0,IF(Itens_B!$D7="risco",IF(Entradas_B!X7=Itens_B!$E7,Itens_B!$C7,0),IF(Itens_B!$D7="mitigacao",IF(Entradas_B!X7="Sim",-Itens_B!$C7,Itens_B!$C7),IF(Itens_B!$D7="evidencia",IF(Entradas_B!X7="Sim",-Itens_B!$C7,0),0))))</f>
        <v/>
      </c>
      <c r="X9">
        <f>IF(Entradas_B!Y7="N/A",0,IF(Itens_B!$D7="risco",IF(Entradas_B!Y7=Itens_B!$E7,Itens_B!$C7,0),IF(Itens_B!$D7="mitigacao",IF(Entradas_B!Y7="Sim",-Itens_B!$C7,Itens_B!$C7),IF(Itens_B!$D7="evidencia",IF(Entradas_B!Y7="Sim",-Itens_B!$C7,0),0))))</f>
        <v/>
      </c>
      <c r="Y9">
        <f>IF(Entradas_B!Z7="N/A",0,IF(Itens_B!$D7="risco",IF(Entradas_B!Z7=Itens_B!$E7,Itens_B!$C7,0),IF(Itens_B!$D7="mitigacao",IF(Entradas_B!Z7="Sim",-Itens_B!$C7,Itens_B!$C7),IF(Itens_B!$D7="evidencia",IF(Entradas_B!Z7="Sim",-Itens_B!$C7,0),0))))</f>
        <v/>
      </c>
      <c r="Z9">
        <f>IF(Entradas_B!AA7="N/A",0,IF(Itens_B!$D7="risco",IF(Entradas_B!AA7=Itens_B!$E7,Itens_B!$C7,0),IF(Itens_B!$D7="mitigacao",IF(Entradas_B!AA7="Sim",-Itens_B!$C7,Itens_B!$C7),IF(Itens_B!$D7="evidencia",IF(Entradas_B!AA7="Sim",-Itens_B!$C7,0),0))))</f>
        <v/>
      </c>
      <c r="AA9">
        <f>IF(Entradas_B!AB7="N/A",0,IF(Itens_B!$D7="risco",IF(Entradas_B!AB7=Itens_B!$E7,Itens_B!$C7,0),IF(Itens_B!$D7="mitigacao",IF(Entradas_B!AB7="Sim",-Itens_B!$C7,Itens_B!$C7),IF(Itens_B!$D7="evidencia",IF(Entradas_B!AB7="Sim",-Itens_B!$C7,0),0))))</f>
        <v/>
      </c>
      <c r="AB9">
        <f>IF(Entradas_B!AC7="N/A",0,IF(Itens_B!$D7="risco",IF(Entradas_B!AC7=Itens_B!$E7,Itens_B!$C7,0),IF(Itens_B!$D7="mitigacao",IF(Entradas_B!AC7="Sim",-Itens_B!$C7,Itens_B!$C7),IF(Itens_B!$D7="evidencia",IF(Entradas_B!AC7="Sim",-Itens_B!$C7,0),0))))</f>
        <v/>
      </c>
      <c r="AC9">
        <f>IF(Entradas_B!AD7="N/A",0,IF(Itens_B!$D7="risco",IF(Entradas_B!AD7=Itens_B!$E7,Itens_B!$C7,0),IF(Itens_B!$D7="mitigacao",IF(Entradas_B!AD7="Sim",-Itens_B!$C7,Itens_B!$C7),IF(Itens_B!$D7="evidencia",IF(Entradas_B!AD7="Sim",-Itens_B!$C7,0),0))))</f>
        <v/>
      </c>
      <c r="AD9">
        <f>IF(Entradas_B!AE7="N/A",0,IF(Itens_B!$D7="risco",IF(Entradas_B!AE7=Itens_B!$E7,Itens_B!$C7,0),IF(Itens_B!$D7="mitigacao",IF(Entradas_B!AE7="Sim",-Itens_B!$C7,Itens_B!$C7),IF(Itens_B!$D7="evidencia",IF(Entradas_B!AE7="Sim",-Itens_B!$C7,0),0))))</f>
        <v/>
      </c>
      <c r="AE9">
        <f>IF(Entradas_B!AF7="N/A",0,IF(Itens_B!$D7="risco",IF(Entradas_B!AF7=Itens_B!$E7,Itens_B!$C7,0),IF(Itens_B!$D7="mitigacao",IF(Entradas_B!AF7="Sim",-Itens_B!$C7,Itens_B!$C7),IF(Itens_B!$D7="evidencia",IF(Entradas_B!AF7="Sim",-Itens_B!$C7,0),0))))</f>
        <v/>
      </c>
      <c r="AF9">
        <f>IF(Entradas_B!AG7="N/A",0,IF(Itens_B!$D7="risco",IF(Entradas_B!AG7=Itens_B!$E7,Itens_B!$C7,0),IF(Itens_B!$D7="mitigacao",IF(Entradas_B!AG7="Sim",-Itens_B!$C7,Itens_B!$C7),IF(Itens_B!$D7="evidencia",IF(Entradas_B!AG7="Sim",-Itens_B!$C7,0),0))))</f>
        <v/>
      </c>
    </row>
    <row r="10">
      <c r="A10" t="inlineStr">
        <is>
          <t>P1.7</t>
        </is>
      </c>
      <c r="B10">
        <f>IF(Entradas_B!C8="N/A",0,IF(Itens_B!$D8="risco",IF(Entradas_B!C8=Itens_B!$E8,Itens_B!$C8,0),IF(Itens_B!$D8="mitigacao",IF(Entradas_B!C8="Sim",-Itens_B!$C8,Itens_B!$C8),IF(Itens_B!$D8="evidencia",IF(Entradas_B!C8="Sim",-Itens_B!$C8,0),0))))</f>
        <v/>
      </c>
      <c r="C10">
        <f>IF(Entradas_B!D8="N/A",0,IF(Itens_B!$D8="risco",IF(Entradas_B!D8=Itens_B!$E8,Itens_B!$C8,0),IF(Itens_B!$D8="mitigacao",IF(Entradas_B!D8="Sim",-Itens_B!$C8,Itens_B!$C8),IF(Itens_B!$D8="evidencia",IF(Entradas_B!D8="Sim",-Itens_B!$C8,0),0))))</f>
        <v/>
      </c>
      <c r="D10">
        <f>IF(Entradas_B!E8="N/A",0,IF(Itens_B!$D8="risco",IF(Entradas_B!E8=Itens_B!$E8,Itens_B!$C8,0),IF(Itens_B!$D8="mitigacao",IF(Entradas_B!E8="Sim",-Itens_B!$C8,Itens_B!$C8),IF(Itens_B!$D8="evidencia",IF(Entradas_B!E8="Sim",-Itens_B!$C8,0),0))))</f>
        <v/>
      </c>
      <c r="E10">
        <f>IF(Entradas_B!F8="N/A",0,IF(Itens_B!$D8="risco",IF(Entradas_B!F8=Itens_B!$E8,Itens_B!$C8,0),IF(Itens_B!$D8="mitigacao",IF(Entradas_B!F8="Sim",-Itens_B!$C8,Itens_B!$C8),IF(Itens_B!$D8="evidencia",IF(Entradas_B!F8="Sim",-Itens_B!$C8,0),0))))</f>
        <v/>
      </c>
      <c r="F10">
        <f>IF(Entradas_B!G8="N/A",0,IF(Itens_B!$D8="risco",IF(Entradas_B!G8=Itens_B!$E8,Itens_B!$C8,0),IF(Itens_B!$D8="mitigacao",IF(Entradas_B!G8="Sim",-Itens_B!$C8,Itens_B!$C8),IF(Itens_B!$D8="evidencia",IF(Entradas_B!G8="Sim",-Itens_B!$C8,0),0))))</f>
        <v/>
      </c>
      <c r="G10">
        <f>IF(Entradas_B!H8="N/A",0,IF(Itens_B!$D8="risco",IF(Entradas_B!H8=Itens_B!$E8,Itens_B!$C8,0),IF(Itens_B!$D8="mitigacao",IF(Entradas_B!H8="Sim",-Itens_B!$C8,Itens_B!$C8),IF(Itens_B!$D8="evidencia",IF(Entradas_B!H8="Sim",-Itens_B!$C8,0),0))))</f>
        <v/>
      </c>
      <c r="H10">
        <f>IF(Entradas_B!I8="N/A",0,IF(Itens_B!$D8="risco",IF(Entradas_B!I8=Itens_B!$E8,Itens_B!$C8,0),IF(Itens_B!$D8="mitigacao",IF(Entradas_B!I8="Sim",-Itens_B!$C8,Itens_B!$C8),IF(Itens_B!$D8="evidencia",IF(Entradas_B!I8="Sim",-Itens_B!$C8,0),0))))</f>
        <v/>
      </c>
      <c r="I10">
        <f>IF(Entradas_B!J8="N/A",0,IF(Itens_B!$D8="risco",IF(Entradas_B!J8=Itens_B!$E8,Itens_B!$C8,0),IF(Itens_B!$D8="mitigacao",IF(Entradas_B!J8="Sim",-Itens_B!$C8,Itens_B!$C8),IF(Itens_B!$D8="evidencia",IF(Entradas_B!J8="Sim",-Itens_B!$C8,0),0))))</f>
        <v/>
      </c>
      <c r="J10">
        <f>IF(Entradas_B!K8="N/A",0,IF(Itens_B!$D8="risco",IF(Entradas_B!K8=Itens_B!$E8,Itens_B!$C8,0),IF(Itens_B!$D8="mitigacao",IF(Entradas_B!K8="Sim",-Itens_B!$C8,Itens_B!$C8),IF(Itens_B!$D8="evidencia",IF(Entradas_B!K8="Sim",-Itens_B!$C8,0),0))))</f>
        <v/>
      </c>
      <c r="K10">
        <f>IF(Entradas_B!L8="N/A",0,IF(Itens_B!$D8="risco",IF(Entradas_B!L8=Itens_B!$E8,Itens_B!$C8,0),IF(Itens_B!$D8="mitigacao",IF(Entradas_B!L8="Sim",-Itens_B!$C8,Itens_B!$C8),IF(Itens_B!$D8="evidencia",IF(Entradas_B!L8="Sim",-Itens_B!$C8,0),0))))</f>
        <v/>
      </c>
      <c r="L10">
        <f>IF(Entradas_B!M8="N/A",0,IF(Itens_B!$D8="risco",IF(Entradas_B!M8=Itens_B!$E8,Itens_B!$C8,0),IF(Itens_B!$D8="mitigacao",IF(Entradas_B!M8="Sim",-Itens_B!$C8,Itens_B!$C8),IF(Itens_B!$D8="evidencia",IF(Entradas_B!M8="Sim",-Itens_B!$C8,0),0))))</f>
        <v/>
      </c>
      <c r="M10">
        <f>IF(Entradas_B!N8="N/A",0,IF(Itens_B!$D8="risco",IF(Entradas_B!N8=Itens_B!$E8,Itens_B!$C8,0),IF(Itens_B!$D8="mitigacao",IF(Entradas_B!N8="Sim",-Itens_B!$C8,Itens_B!$C8),IF(Itens_B!$D8="evidencia",IF(Entradas_B!N8="Sim",-Itens_B!$C8,0),0))))</f>
        <v/>
      </c>
      <c r="N10">
        <f>IF(Entradas_B!O8="N/A",0,IF(Itens_B!$D8="risco",IF(Entradas_B!O8=Itens_B!$E8,Itens_B!$C8,0),IF(Itens_B!$D8="mitigacao",IF(Entradas_B!O8="Sim",-Itens_B!$C8,Itens_B!$C8),IF(Itens_B!$D8="evidencia",IF(Entradas_B!O8="Sim",-Itens_B!$C8,0),0))))</f>
        <v/>
      </c>
      <c r="O10">
        <f>IF(Entradas_B!P8="N/A",0,IF(Itens_B!$D8="risco",IF(Entradas_B!P8=Itens_B!$E8,Itens_B!$C8,0),IF(Itens_B!$D8="mitigacao",IF(Entradas_B!P8="Sim",-Itens_B!$C8,Itens_B!$C8),IF(Itens_B!$D8="evidencia",IF(Entradas_B!P8="Sim",-Itens_B!$C8,0),0))))</f>
        <v/>
      </c>
      <c r="P10">
        <f>IF(Entradas_B!Q8="N/A",0,IF(Itens_B!$D8="risco",IF(Entradas_B!Q8=Itens_B!$E8,Itens_B!$C8,0),IF(Itens_B!$D8="mitigacao",IF(Entradas_B!Q8="Sim",-Itens_B!$C8,Itens_B!$C8),IF(Itens_B!$D8="evidencia",IF(Entradas_B!Q8="Sim",-Itens_B!$C8,0),0))))</f>
        <v/>
      </c>
      <c r="Q10">
        <f>IF(Entradas_B!R8="N/A",0,IF(Itens_B!$D8="risco",IF(Entradas_B!R8=Itens_B!$E8,Itens_B!$C8,0),IF(Itens_B!$D8="mitigacao",IF(Entradas_B!R8="Sim",-Itens_B!$C8,Itens_B!$C8),IF(Itens_B!$D8="evidencia",IF(Entradas_B!R8="Sim",-Itens_B!$C8,0),0))))</f>
        <v/>
      </c>
      <c r="R10">
        <f>IF(Entradas_B!S8="N/A",0,IF(Itens_B!$D8="risco",IF(Entradas_B!S8=Itens_B!$E8,Itens_B!$C8,0),IF(Itens_B!$D8="mitigacao",IF(Entradas_B!S8="Sim",-Itens_B!$C8,Itens_B!$C8),IF(Itens_B!$D8="evidencia",IF(Entradas_B!S8="Sim",-Itens_B!$C8,0),0))))</f>
        <v/>
      </c>
      <c r="S10">
        <f>IF(Entradas_B!T8="N/A",0,IF(Itens_B!$D8="risco",IF(Entradas_B!T8=Itens_B!$E8,Itens_B!$C8,0),IF(Itens_B!$D8="mitigacao",IF(Entradas_B!T8="Sim",-Itens_B!$C8,Itens_B!$C8),IF(Itens_B!$D8="evidencia",IF(Entradas_B!T8="Sim",-Itens_B!$C8,0),0))))</f>
        <v/>
      </c>
      <c r="T10">
        <f>IF(Entradas_B!U8="N/A",0,IF(Itens_B!$D8="risco",IF(Entradas_B!U8=Itens_B!$E8,Itens_B!$C8,0),IF(Itens_B!$D8="mitigacao",IF(Entradas_B!U8="Sim",-Itens_B!$C8,Itens_B!$C8),IF(Itens_B!$D8="evidencia",IF(Entradas_B!U8="Sim",-Itens_B!$C8,0),0))))</f>
        <v/>
      </c>
      <c r="U10">
        <f>IF(Entradas_B!V8="N/A",0,IF(Itens_B!$D8="risco",IF(Entradas_B!V8=Itens_B!$E8,Itens_B!$C8,0),IF(Itens_B!$D8="mitigacao",IF(Entradas_B!V8="Sim",-Itens_B!$C8,Itens_B!$C8),IF(Itens_B!$D8="evidencia",IF(Entradas_B!V8="Sim",-Itens_B!$C8,0),0))))</f>
        <v/>
      </c>
      <c r="V10">
        <f>IF(Entradas_B!W8="N/A",0,IF(Itens_B!$D8="risco",IF(Entradas_B!W8=Itens_B!$E8,Itens_B!$C8,0),IF(Itens_B!$D8="mitigacao",IF(Entradas_B!W8="Sim",-Itens_B!$C8,Itens_B!$C8),IF(Itens_B!$D8="evidencia",IF(Entradas_B!W8="Sim",-Itens_B!$C8,0),0))))</f>
        <v/>
      </c>
      <c r="W10">
        <f>IF(Entradas_B!X8="N/A",0,IF(Itens_B!$D8="risco",IF(Entradas_B!X8=Itens_B!$E8,Itens_B!$C8,0),IF(Itens_B!$D8="mitigacao",IF(Entradas_B!X8="Sim",-Itens_B!$C8,Itens_B!$C8),IF(Itens_B!$D8="evidencia",IF(Entradas_B!X8="Sim",-Itens_B!$C8,0),0))))</f>
        <v/>
      </c>
      <c r="X10">
        <f>IF(Entradas_B!Y8="N/A",0,IF(Itens_B!$D8="risco",IF(Entradas_B!Y8=Itens_B!$E8,Itens_B!$C8,0),IF(Itens_B!$D8="mitigacao",IF(Entradas_B!Y8="Sim",-Itens_B!$C8,Itens_B!$C8),IF(Itens_B!$D8="evidencia",IF(Entradas_B!Y8="Sim",-Itens_B!$C8,0),0))))</f>
        <v/>
      </c>
      <c r="Y10">
        <f>IF(Entradas_B!Z8="N/A",0,IF(Itens_B!$D8="risco",IF(Entradas_B!Z8=Itens_B!$E8,Itens_B!$C8,0),IF(Itens_B!$D8="mitigacao",IF(Entradas_B!Z8="Sim",-Itens_B!$C8,Itens_B!$C8),IF(Itens_B!$D8="evidencia",IF(Entradas_B!Z8="Sim",-Itens_B!$C8,0),0))))</f>
        <v/>
      </c>
      <c r="Z10">
        <f>IF(Entradas_B!AA8="N/A",0,IF(Itens_B!$D8="risco",IF(Entradas_B!AA8=Itens_B!$E8,Itens_B!$C8,0),IF(Itens_B!$D8="mitigacao",IF(Entradas_B!AA8="Sim",-Itens_B!$C8,Itens_B!$C8),IF(Itens_B!$D8="evidencia",IF(Entradas_B!AA8="Sim",-Itens_B!$C8,0),0))))</f>
        <v/>
      </c>
      <c r="AA10">
        <f>IF(Entradas_B!AB8="N/A",0,IF(Itens_B!$D8="risco",IF(Entradas_B!AB8=Itens_B!$E8,Itens_B!$C8,0),IF(Itens_B!$D8="mitigacao",IF(Entradas_B!AB8="Sim",-Itens_B!$C8,Itens_B!$C8),IF(Itens_B!$D8="evidencia",IF(Entradas_B!AB8="Sim",-Itens_B!$C8,0),0))))</f>
        <v/>
      </c>
      <c r="AB10">
        <f>IF(Entradas_B!AC8="N/A",0,IF(Itens_B!$D8="risco",IF(Entradas_B!AC8=Itens_B!$E8,Itens_B!$C8,0),IF(Itens_B!$D8="mitigacao",IF(Entradas_B!AC8="Sim",-Itens_B!$C8,Itens_B!$C8),IF(Itens_B!$D8="evidencia",IF(Entradas_B!AC8="Sim",-Itens_B!$C8,0),0))))</f>
        <v/>
      </c>
      <c r="AC10">
        <f>IF(Entradas_B!AD8="N/A",0,IF(Itens_B!$D8="risco",IF(Entradas_B!AD8=Itens_B!$E8,Itens_B!$C8,0),IF(Itens_B!$D8="mitigacao",IF(Entradas_B!AD8="Sim",-Itens_B!$C8,Itens_B!$C8),IF(Itens_B!$D8="evidencia",IF(Entradas_B!AD8="Sim",-Itens_B!$C8,0),0))))</f>
        <v/>
      </c>
      <c r="AD10">
        <f>IF(Entradas_B!AE8="N/A",0,IF(Itens_B!$D8="risco",IF(Entradas_B!AE8=Itens_B!$E8,Itens_B!$C8,0),IF(Itens_B!$D8="mitigacao",IF(Entradas_B!AE8="Sim",-Itens_B!$C8,Itens_B!$C8),IF(Itens_B!$D8="evidencia",IF(Entradas_B!AE8="Sim",-Itens_B!$C8,0),0))))</f>
        <v/>
      </c>
      <c r="AE10">
        <f>IF(Entradas_B!AF8="N/A",0,IF(Itens_B!$D8="risco",IF(Entradas_B!AF8=Itens_B!$E8,Itens_B!$C8,0),IF(Itens_B!$D8="mitigacao",IF(Entradas_B!AF8="Sim",-Itens_B!$C8,Itens_B!$C8),IF(Itens_B!$D8="evidencia",IF(Entradas_B!AF8="Sim",-Itens_B!$C8,0),0))))</f>
        <v/>
      </c>
      <c r="AF10">
        <f>IF(Entradas_B!AG8="N/A",0,IF(Itens_B!$D8="risco",IF(Entradas_B!AG8=Itens_B!$E8,Itens_B!$C8,0),IF(Itens_B!$D8="mitigacao",IF(Entradas_B!AG8="Sim",-Itens_B!$C8,Itens_B!$C8),IF(Itens_B!$D8="evidencia",IF(Entradas_B!AG8="Sim",-Itens_B!$C8,0),0))))</f>
        <v/>
      </c>
    </row>
    <row r="11">
      <c r="A11" t="inlineStr">
        <is>
          <t>P2.1</t>
        </is>
      </c>
      <c r="B11">
        <f>IF(Entradas_B!C9="N/A",0,IF(Itens_B!$D9="risco",IF(Entradas_B!C9=Itens_B!$E9,Itens_B!$C9,0),IF(Itens_B!$D9="mitigacao",IF(Entradas_B!C9="Sim",-Itens_B!$C9,Itens_B!$C9),IF(Itens_B!$D9="evidencia",IF(Entradas_B!C9="Sim",-Itens_B!$C9,0),0))))</f>
        <v/>
      </c>
      <c r="C11">
        <f>IF(Entradas_B!D9="N/A",0,IF(Itens_B!$D9="risco",IF(Entradas_B!D9=Itens_B!$E9,Itens_B!$C9,0),IF(Itens_B!$D9="mitigacao",IF(Entradas_B!D9="Sim",-Itens_B!$C9,Itens_B!$C9),IF(Itens_B!$D9="evidencia",IF(Entradas_B!D9="Sim",-Itens_B!$C9,0),0))))</f>
        <v/>
      </c>
      <c r="D11">
        <f>IF(Entradas_B!E9="N/A",0,IF(Itens_B!$D9="risco",IF(Entradas_B!E9=Itens_B!$E9,Itens_B!$C9,0),IF(Itens_B!$D9="mitigacao",IF(Entradas_B!E9="Sim",-Itens_B!$C9,Itens_B!$C9),IF(Itens_B!$D9="evidencia",IF(Entradas_B!E9="Sim",-Itens_B!$C9,0),0))))</f>
        <v/>
      </c>
      <c r="E11">
        <f>IF(Entradas_B!F9="N/A",0,IF(Itens_B!$D9="risco",IF(Entradas_B!F9=Itens_B!$E9,Itens_B!$C9,0),IF(Itens_B!$D9="mitigacao",IF(Entradas_B!F9="Sim",-Itens_B!$C9,Itens_B!$C9),IF(Itens_B!$D9="evidencia",IF(Entradas_B!F9="Sim",-Itens_B!$C9,0),0))))</f>
        <v/>
      </c>
      <c r="F11">
        <f>IF(Entradas_B!G9="N/A",0,IF(Itens_B!$D9="risco",IF(Entradas_B!G9=Itens_B!$E9,Itens_B!$C9,0),IF(Itens_B!$D9="mitigacao",IF(Entradas_B!G9="Sim",-Itens_B!$C9,Itens_B!$C9),IF(Itens_B!$D9="evidencia",IF(Entradas_B!G9="Sim",-Itens_B!$C9,0),0))))</f>
        <v/>
      </c>
      <c r="G11">
        <f>IF(Entradas_B!H9="N/A",0,IF(Itens_B!$D9="risco",IF(Entradas_B!H9=Itens_B!$E9,Itens_B!$C9,0),IF(Itens_B!$D9="mitigacao",IF(Entradas_B!H9="Sim",-Itens_B!$C9,Itens_B!$C9),IF(Itens_B!$D9="evidencia",IF(Entradas_B!H9="Sim",-Itens_B!$C9,0),0))))</f>
        <v/>
      </c>
      <c r="H11">
        <f>IF(Entradas_B!I9="N/A",0,IF(Itens_B!$D9="risco",IF(Entradas_B!I9=Itens_B!$E9,Itens_B!$C9,0),IF(Itens_B!$D9="mitigacao",IF(Entradas_B!I9="Sim",-Itens_B!$C9,Itens_B!$C9),IF(Itens_B!$D9="evidencia",IF(Entradas_B!I9="Sim",-Itens_B!$C9,0),0))))</f>
        <v/>
      </c>
      <c r="I11">
        <f>IF(Entradas_B!J9="N/A",0,IF(Itens_B!$D9="risco",IF(Entradas_B!J9=Itens_B!$E9,Itens_B!$C9,0),IF(Itens_B!$D9="mitigacao",IF(Entradas_B!J9="Sim",-Itens_B!$C9,Itens_B!$C9),IF(Itens_B!$D9="evidencia",IF(Entradas_B!J9="Sim",-Itens_B!$C9,0),0))))</f>
        <v/>
      </c>
      <c r="J11">
        <f>IF(Entradas_B!K9="N/A",0,IF(Itens_B!$D9="risco",IF(Entradas_B!K9=Itens_B!$E9,Itens_B!$C9,0),IF(Itens_B!$D9="mitigacao",IF(Entradas_B!K9="Sim",-Itens_B!$C9,Itens_B!$C9),IF(Itens_B!$D9="evidencia",IF(Entradas_B!K9="Sim",-Itens_B!$C9,0),0))))</f>
        <v/>
      </c>
      <c r="K11">
        <f>IF(Entradas_B!L9="N/A",0,IF(Itens_B!$D9="risco",IF(Entradas_B!L9=Itens_B!$E9,Itens_B!$C9,0),IF(Itens_B!$D9="mitigacao",IF(Entradas_B!L9="Sim",-Itens_B!$C9,Itens_B!$C9),IF(Itens_B!$D9="evidencia",IF(Entradas_B!L9="Sim",-Itens_B!$C9,0),0))))</f>
        <v/>
      </c>
      <c r="L11">
        <f>IF(Entradas_B!M9="N/A",0,IF(Itens_B!$D9="risco",IF(Entradas_B!M9=Itens_B!$E9,Itens_B!$C9,0),IF(Itens_B!$D9="mitigacao",IF(Entradas_B!M9="Sim",-Itens_B!$C9,Itens_B!$C9),IF(Itens_B!$D9="evidencia",IF(Entradas_B!M9="Sim",-Itens_B!$C9,0),0))))</f>
        <v/>
      </c>
      <c r="M11">
        <f>IF(Entradas_B!N9="N/A",0,IF(Itens_B!$D9="risco",IF(Entradas_B!N9=Itens_B!$E9,Itens_B!$C9,0),IF(Itens_B!$D9="mitigacao",IF(Entradas_B!N9="Sim",-Itens_B!$C9,Itens_B!$C9),IF(Itens_B!$D9="evidencia",IF(Entradas_B!N9="Sim",-Itens_B!$C9,0),0))))</f>
        <v/>
      </c>
      <c r="N11">
        <f>IF(Entradas_B!O9="N/A",0,IF(Itens_B!$D9="risco",IF(Entradas_B!O9=Itens_B!$E9,Itens_B!$C9,0),IF(Itens_B!$D9="mitigacao",IF(Entradas_B!O9="Sim",-Itens_B!$C9,Itens_B!$C9),IF(Itens_B!$D9="evidencia",IF(Entradas_B!O9="Sim",-Itens_B!$C9,0),0))))</f>
        <v/>
      </c>
      <c r="O11">
        <f>IF(Entradas_B!P9="N/A",0,IF(Itens_B!$D9="risco",IF(Entradas_B!P9=Itens_B!$E9,Itens_B!$C9,0),IF(Itens_B!$D9="mitigacao",IF(Entradas_B!P9="Sim",-Itens_B!$C9,Itens_B!$C9),IF(Itens_B!$D9="evidencia",IF(Entradas_B!P9="Sim",-Itens_B!$C9,0),0))))</f>
        <v/>
      </c>
      <c r="P11">
        <f>IF(Entradas_B!Q9="N/A",0,IF(Itens_B!$D9="risco",IF(Entradas_B!Q9=Itens_B!$E9,Itens_B!$C9,0),IF(Itens_B!$D9="mitigacao",IF(Entradas_B!Q9="Sim",-Itens_B!$C9,Itens_B!$C9),IF(Itens_B!$D9="evidencia",IF(Entradas_B!Q9="Sim",-Itens_B!$C9,0),0))))</f>
        <v/>
      </c>
      <c r="Q11">
        <f>IF(Entradas_B!R9="N/A",0,IF(Itens_B!$D9="risco",IF(Entradas_B!R9=Itens_B!$E9,Itens_B!$C9,0),IF(Itens_B!$D9="mitigacao",IF(Entradas_B!R9="Sim",-Itens_B!$C9,Itens_B!$C9),IF(Itens_B!$D9="evidencia",IF(Entradas_B!R9="Sim",-Itens_B!$C9,0),0))))</f>
        <v/>
      </c>
      <c r="R11">
        <f>IF(Entradas_B!S9="N/A",0,IF(Itens_B!$D9="risco",IF(Entradas_B!S9=Itens_B!$E9,Itens_B!$C9,0),IF(Itens_B!$D9="mitigacao",IF(Entradas_B!S9="Sim",-Itens_B!$C9,Itens_B!$C9),IF(Itens_B!$D9="evidencia",IF(Entradas_B!S9="Sim",-Itens_B!$C9,0),0))))</f>
        <v/>
      </c>
      <c r="S11">
        <f>IF(Entradas_B!T9="N/A",0,IF(Itens_B!$D9="risco",IF(Entradas_B!T9=Itens_B!$E9,Itens_B!$C9,0),IF(Itens_B!$D9="mitigacao",IF(Entradas_B!T9="Sim",-Itens_B!$C9,Itens_B!$C9),IF(Itens_B!$D9="evidencia",IF(Entradas_B!T9="Sim",-Itens_B!$C9,0),0))))</f>
        <v/>
      </c>
      <c r="T11">
        <f>IF(Entradas_B!U9="N/A",0,IF(Itens_B!$D9="risco",IF(Entradas_B!U9=Itens_B!$E9,Itens_B!$C9,0),IF(Itens_B!$D9="mitigacao",IF(Entradas_B!U9="Sim",-Itens_B!$C9,Itens_B!$C9),IF(Itens_B!$D9="evidencia",IF(Entradas_B!U9="Sim",-Itens_B!$C9,0),0))))</f>
        <v/>
      </c>
      <c r="U11">
        <f>IF(Entradas_B!V9="N/A",0,IF(Itens_B!$D9="risco",IF(Entradas_B!V9=Itens_B!$E9,Itens_B!$C9,0),IF(Itens_B!$D9="mitigacao",IF(Entradas_B!V9="Sim",-Itens_B!$C9,Itens_B!$C9),IF(Itens_B!$D9="evidencia",IF(Entradas_B!V9="Sim",-Itens_B!$C9,0),0))))</f>
        <v/>
      </c>
      <c r="V11">
        <f>IF(Entradas_B!W9="N/A",0,IF(Itens_B!$D9="risco",IF(Entradas_B!W9=Itens_B!$E9,Itens_B!$C9,0),IF(Itens_B!$D9="mitigacao",IF(Entradas_B!W9="Sim",-Itens_B!$C9,Itens_B!$C9),IF(Itens_B!$D9="evidencia",IF(Entradas_B!W9="Sim",-Itens_B!$C9,0),0))))</f>
        <v/>
      </c>
      <c r="W11">
        <f>IF(Entradas_B!X9="N/A",0,IF(Itens_B!$D9="risco",IF(Entradas_B!X9=Itens_B!$E9,Itens_B!$C9,0),IF(Itens_B!$D9="mitigacao",IF(Entradas_B!X9="Sim",-Itens_B!$C9,Itens_B!$C9),IF(Itens_B!$D9="evidencia",IF(Entradas_B!X9="Sim",-Itens_B!$C9,0),0))))</f>
        <v/>
      </c>
      <c r="X11">
        <f>IF(Entradas_B!Y9="N/A",0,IF(Itens_B!$D9="risco",IF(Entradas_B!Y9=Itens_B!$E9,Itens_B!$C9,0),IF(Itens_B!$D9="mitigacao",IF(Entradas_B!Y9="Sim",-Itens_B!$C9,Itens_B!$C9),IF(Itens_B!$D9="evidencia",IF(Entradas_B!Y9="Sim",-Itens_B!$C9,0),0))))</f>
        <v/>
      </c>
      <c r="Y11">
        <f>IF(Entradas_B!Z9="N/A",0,IF(Itens_B!$D9="risco",IF(Entradas_B!Z9=Itens_B!$E9,Itens_B!$C9,0),IF(Itens_B!$D9="mitigacao",IF(Entradas_B!Z9="Sim",-Itens_B!$C9,Itens_B!$C9),IF(Itens_B!$D9="evidencia",IF(Entradas_B!Z9="Sim",-Itens_B!$C9,0),0))))</f>
        <v/>
      </c>
      <c r="Z11">
        <f>IF(Entradas_B!AA9="N/A",0,IF(Itens_B!$D9="risco",IF(Entradas_B!AA9=Itens_B!$E9,Itens_B!$C9,0),IF(Itens_B!$D9="mitigacao",IF(Entradas_B!AA9="Sim",-Itens_B!$C9,Itens_B!$C9),IF(Itens_B!$D9="evidencia",IF(Entradas_B!AA9="Sim",-Itens_B!$C9,0),0))))</f>
        <v/>
      </c>
      <c r="AA11">
        <f>IF(Entradas_B!AB9="N/A",0,IF(Itens_B!$D9="risco",IF(Entradas_B!AB9=Itens_B!$E9,Itens_B!$C9,0),IF(Itens_B!$D9="mitigacao",IF(Entradas_B!AB9="Sim",-Itens_B!$C9,Itens_B!$C9),IF(Itens_B!$D9="evidencia",IF(Entradas_B!AB9="Sim",-Itens_B!$C9,0),0))))</f>
        <v/>
      </c>
      <c r="AB11">
        <f>IF(Entradas_B!AC9="N/A",0,IF(Itens_B!$D9="risco",IF(Entradas_B!AC9=Itens_B!$E9,Itens_B!$C9,0),IF(Itens_B!$D9="mitigacao",IF(Entradas_B!AC9="Sim",-Itens_B!$C9,Itens_B!$C9),IF(Itens_B!$D9="evidencia",IF(Entradas_B!AC9="Sim",-Itens_B!$C9,0),0))))</f>
        <v/>
      </c>
      <c r="AC11">
        <f>IF(Entradas_B!AD9="N/A",0,IF(Itens_B!$D9="risco",IF(Entradas_B!AD9=Itens_B!$E9,Itens_B!$C9,0),IF(Itens_B!$D9="mitigacao",IF(Entradas_B!AD9="Sim",-Itens_B!$C9,Itens_B!$C9),IF(Itens_B!$D9="evidencia",IF(Entradas_B!AD9="Sim",-Itens_B!$C9,0),0))))</f>
        <v/>
      </c>
      <c r="AD11">
        <f>IF(Entradas_B!AE9="N/A",0,IF(Itens_B!$D9="risco",IF(Entradas_B!AE9=Itens_B!$E9,Itens_B!$C9,0),IF(Itens_B!$D9="mitigacao",IF(Entradas_B!AE9="Sim",-Itens_B!$C9,Itens_B!$C9),IF(Itens_B!$D9="evidencia",IF(Entradas_B!AE9="Sim",-Itens_B!$C9,0),0))))</f>
        <v/>
      </c>
      <c r="AE11">
        <f>IF(Entradas_B!AF9="N/A",0,IF(Itens_B!$D9="risco",IF(Entradas_B!AF9=Itens_B!$E9,Itens_B!$C9,0),IF(Itens_B!$D9="mitigacao",IF(Entradas_B!AF9="Sim",-Itens_B!$C9,Itens_B!$C9),IF(Itens_B!$D9="evidencia",IF(Entradas_B!AF9="Sim",-Itens_B!$C9,0),0))))</f>
        <v/>
      </c>
      <c r="AF11">
        <f>IF(Entradas_B!AG9="N/A",0,IF(Itens_B!$D9="risco",IF(Entradas_B!AG9=Itens_B!$E9,Itens_B!$C9,0),IF(Itens_B!$D9="mitigacao",IF(Entradas_B!AG9="Sim",-Itens_B!$C9,Itens_B!$C9),IF(Itens_B!$D9="evidencia",IF(Entradas_B!AG9="Sim",-Itens_B!$C9,0),0))))</f>
        <v/>
      </c>
    </row>
    <row r="12">
      <c r="A12" t="inlineStr">
        <is>
          <t>P2.2</t>
        </is>
      </c>
      <c r="B12">
        <f>IF(Entradas_B!C10="N/A",0,IF(Itens_B!$D10="risco",IF(Entradas_B!C10=Itens_B!$E10,Itens_B!$C10,0),IF(Itens_B!$D10="mitigacao",IF(Entradas_B!C10="Sim",-Itens_B!$C10,Itens_B!$C10),IF(Itens_B!$D10="evidencia",IF(Entradas_B!C10="Sim",-Itens_B!$C10,0),0))))</f>
        <v/>
      </c>
      <c r="C12">
        <f>IF(Entradas_B!D10="N/A",0,IF(Itens_B!$D10="risco",IF(Entradas_B!D10=Itens_B!$E10,Itens_B!$C10,0),IF(Itens_B!$D10="mitigacao",IF(Entradas_B!D10="Sim",-Itens_B!$C10,Itens_B!$C10),IF(Itens_B!$D10="evidencia",IF(Entradas_B!D10="Sim",-Itens_B!$C10,0),0))))</f>
        <v/>
      </c>
      <c r="D12">
        <f>IF(Entradas_B!E10="N/A",0,IF(Itens_B!$D10="risco",IF(Entradas_B!E10=Itens_B!$E10,Itens_B!$C10,0),IF(Itens_B!$D10="mitigacao",IF(Entradas_B!E10="Sim",-Itens_B!$C10,Itens_B!$C10),IF(Itens_B!$D10="evidencia",IF(Entradas_B!E10="Sim",-Itens_B!$C10,0),0))))</f>
        <v/>
      </c>
      <c r="E12">
        <f>IF(Entradas_B!F10="N/A",0,IF(Itens_B!$D10="risco",IF(Entradas_B!F10=Itens_B!$E10,Itens_B!$C10,0),IF(Itens_B!$D10="mitigacao",IF(Entradas_B!F10="Sim",-Itens_B!$C10,Itens_B!$C10),IF(Itens_B!$D10="evidencia",IF(Entradas_B!F10="Sim",-Itens_B!$C10,0),0))))</f>
        <v/>
      </c>
      <c r="F12">
        <f>IF(Entradas_B!G10="N/A",0,IF(Itens_B!$D10="risco",IF(Entradas_B!G10=Itens_B!$E10,Itens_B!$C10,0),IF(Itens_B!$D10="mitigacao",IF(Entradas_B!G10="Sim",-Itens_B!$C10,Itens_B!$C10),IF(Itens_B!$D10="evidencia",IF(Entradas_B!G10="Sim",-Itens_B!$C10,0),0))))</f>
        <v/>
      </c>
      <c r="G12">
        <f>IF(Entradas_B!H10="N/A",0,IF(Itens_B!$D10="risco",IF(Entradas_B!H10=Itens_B!$E10,Itens_B!$C10,0),IF(Itens_B!$D10="mitigacao",IF(Entradas_B!H10="Sim",-Itens_B!$C10,Itens_B!$C10),IF(Itens_B!$D10="evidencia",IF(Entradas_B!H10="Sim",-Itens_B!$C10,0),0))))</f>
        <v/>
      </c>
      <c r="H12">
        <f>IF(Entradas_B!I10="N/A",0,IF(Itens_B!$D10="risco",IF(Entradas_B!I10=Itens_B!$E10,Itens_B!$C10,0),IF(Itens_B!$D10="mitigacao",IF(Entradas_B!I10="Sim",-Itens_B!$C10,Itens_B!$C10),IF(Itens_B!$D10="evidencia",IF(Entradas_B!I10="Sim",-Itens_B!$C10,0),0))))</f>
        <v/>
      </c>
      <c r="I12">
        <f>IF(Entradas_B!J10="N/A",0,IF(Itens_B!$D10="risco",IF(Entradas_B!J10=Itens_B!$E10,Itens_B!$C10,0),IF(Itens_B!$D10="mitigacao",IF(Entradas_B!J10="Sim",-Itens_B!$C10,Itens_B!$C10),IF(Itens_B!$D10="evidencia",IF(Entradas_B!J10="Sim",-Itens_B!$C10,0),0))))</f>
        <v/>
      </c>
      <c r="J12">
        <f>IF(Entradas_B!K10="N/A",0,IF(Itens_B!$D10="risco",IF(Entradas_B!K10=Itens_B!$E10,Itens_B!$C10,0),IF(Itens_B!$D10="mitigacao",IF(Entradas_B!K10="Sim",-Itens_B!$C10,Itens_B!$C10),IF(Itens_B!$D10="evidencia",IF(Entradas_B!K10="Sim",-Itens_B!$C10,0),0))))</f>
        <v/>
      </c>
      <c r="K12">
        <f>IF(Entradas_B!L10="N/A",0,IF(Itens_B!$D10="risco",IF(Entradas_B!L10=Itens_B!$E10,Itens_B!$C10,0),IF(Itens_B!$D10="mitigacao",IF(Entradas_B!L10="Sim",-Itens_B!$C10,Itens_B!$C10),IF(Itens_B!$D10="evidencia",IF(Entradas_B!L10="Sim",-Itens_B!$C10,0),0))))</f>
        <v/>
      </c>
      <c r="L12">
        <f>IF(Entradas_B!M10="N/A",0,IF(Itens_B!$D10="risco",IF(Entradas_B!M10=Itens_B!$E10,Itens_B!$C10,0),IF(Itens_B!$D10="mitigacao",IF(Entradas_B!M10="Sim",-Itens_B!$C10,Itens_B!$C10),IF(Itens_B!$D10="evidencia",IF(Entradas_B!M10="Sim",-Itens_B!$C10,0),0))))</f>
        <v/>
      </c>
      <c r="M12">
        <f>IF(Entradas_B!N10="N/A",0,IF(Itens_B!$D10="risco",IF(Entradas_B!N10=Itens_B!$E10,Itens_B!$C10,0),IF(Itens_B!$D10="mitigacao",IF(Entradas_B!N10="Sim",-Itens_B!$C10,Itens_B!$C10),IF(Itens_B!$D10="evidencia",IF(Entradas_B!N10="Sim",-Itens_B!$C10,0),0))))</f>
        <v/>
      </c>
      <c r="N12">
        <f>IF(Entradas_B!O10="N/A",0,IF(Itens_B!$D10="risco",IF(Entradas_B!O10=Itens_B!$E10,Itens_B!$C10,0),IF(Itens_B!$D10="mitigacao",IF(Entradas_B!O10="Sim",-Itens_B!$C10,Itens_B!$C10),IF(Itens_B!$D10="evidencia",IF(Entradas_B!O10="Sim",-Itens_B!$C10,0),0))))</f>
        <v/>
      </c>
      <c r="O12">
        <f>IF(Entradas_B!P10="N/A",0,IF(Itens_B!$D10="risco",IF(Entradas_B!P10=Itens_B!$E10,Itens_B!$C10,0),IF(Itens_B!$D10="mitigacao",IF(Entradas_B!P10="Sim",-Itens_B!$C10,Itens_B!$C10),IF(Itens_B!$D10="evidencia",IF(Entradas_B!P10="Sim",-Itens_B!$C10,0),0))))</f>
        <v/>
      </c>
      <c r="P12">
        <f>IF(Entradas_B!Q10="N/A",0,IF(Itens_B!$D10="risco",IF(Entradas_B!Q10=Itens_B!$E10,Itens_B!$C10,0),IF(Itens_B!$D10="mitigacao",IF(Entradas_B!Q10="Sim",-Itens_B!$C10,Itens_B!$C10),IF(Itens_B!$D10="evidencia",IF(Entradas_B!Q10="Sim",-Itens_B!$C10,0),0))))</f>
        <v/>
      </c>
      <c r="Q12">
        <f>IF(Entradas_B!R10="N/A",0,IF(Itens_B!$D10="risco",IF(Entradas_B!R10=Itens_B!$E10,Itens_B!$C10,0),IF(Itens_B!$D10="mitigacao",IF(Entradas_B!R10="Sim",-Itens_B!$C10,Itens_B!$C10),IF(Itens_B!$D10="evidencia",IF(Entradas_B!R10="Sim",-Itens_B!$C10,0),0))))</f>
        <v/>
      </c>
      <c r="R12">
        <f>IF(Entradas_B!S10="N/A",0,IF(Itens_B!$D10="risco",IF(Entradas_B!S10=Itens_B!$E10,Itens_B!$C10,0),IF(Itens_B!$D10="mitigacao",IF(Entradas_B!S10="Sim",-Itens_B!$C10,Itens_B!$C10),IF(Itens_B!$D10="evidencia",IF(Entradas_B!S10="Sim",-Itens_B!$C10,0),0))))</f>
        <v/>
      </c>
      <c r="S12">
        <f>IF(Entradas_B!T10="N/A",0,IF(Itens_B!$D10="risco",IF(Entradas_B!T10=Itens_B!$E10,Itens_B!$C10,0),IF(Itens_B!$D10="mitigacao",IF(Entradas_B!T10="Sim",-Itens_B!$C10,Itens_B!$C10),IF(Itens_B!$D10="evidencia",IF(Entradas_B!T10="Sim",-Itens_B!$C10,0),0))))</f>
        <v/>
      </c>
      <c r="T12">
        <f>IF(Entradas_B!U10="N/A",0,IF(Itens_B!$D10="risco",IF(Entradas_B!U10=Itens_B!$E10,Itens_B!$C10,0),IF(Itens_B!$D10="mitigacao",IF(Entradas_B!U10="Sim",-Itens_B!$C10,Itens_B!$C10),IF(Itens_B!$D10="evidencia",IF(Entradas_B!U10="Sim",-Itens_B!$C10,0),0))))</f>
        <v/>
      </c>
      <c r="U12">
        <f>IF(Entradas_B!V10="N/A",0,IF(Itens_B!$D10="risco",IF(Entradas_B!V10=Itens_B!$E10,Itens_B!$C10,0),IF(Itens_B!$D10="mitigacao",IF(Entradas_B!V10="Sim",-Itens_B!$C10,Itens_B!$C10),IF(Itens_B!$D10="evidencia",IF(Entradas_B!V10="Sim",-Itens_B!$C10,0),0))))</f>
        <v/>
      </c>
      <c r="V12">
        <f>IF(Entradas_B!W10="N/A",0,IF(Itens_B!$D10="risco",IF(Entradas_B!W10=Itens_B!$E10,Itens_B!$C10,0),IF(Itens_B!$D10="mitigacao",IF(Entradas_B!W10="Sim",-Itens_B!$C10,Itens_B!$C10),IF(Itens_B!$D10="evidencia",IF(Entradas_B!W10="Sim",-Itens_B!$C10,0),0))))</f>
        <v/>
      </c>
      <c r="W12">
        <f>IF(Entradas_B!X10="N/A",0,IF(Itens_B!$D10="risco",IF(Entradas_B!X10=Itens_B!$E10,Itens_B!$C10,0),IF(Itens_B!$D10="mitigacao",IF(Entradas_B!X10="Sim",-Itens_B!$C10,Itens_B!$C10),IF(Itens_B!$D10="evidencia",IF(Entradas_B!X10="Sim",-Itens_B!$C10,0),0))))</f>
        <v/>
      </c>
      <c r="X12">
        <f>IF(Entradas_B!Y10="N/A",0,IF(Itens_B!$D10="risco",IF(Entradas_B!Y10=Itens_B!$E10,Itens_B!$C10,0),IF(Itens_B!$D10="mitigacao",IF(Entradas_B!Y10="Sim",-Itens_B!$C10,Itens_B!$C10),IF(Itens_B!$D10="evidencia",IF(Entradas_B!Y10="Sim",-Itens_B!$C10,0),0))))</f>
        <v/>
      </c>
      <c r="Y12">
        <f>IF(Entradas_B!Z10="N/A",0,IF(Itens_B!$D10="risco",IF(Entradas_B!Z10=Itens_B!$E10,Itens_B!$C10,0),IF(Itens_B!$D10="mitigacao",IF(Entradas_B!Z10="Sim",-Itens_B!$C10,Itens_B!$C10),IF(Itens_B!$D10="evidencia",IF(Entradas_B!Z10="Sim",-Itens_B!$C10,0),0))))</f>
        <v/>
      </c>
      <c r="Z12">
        <f>IF(Entradas_B!AA10="N/A",0,IF(Itens_B!$D10="risco",IF(Entradas_B!AA10=Itens_B!$E10,Itens_B!$C10,0),IF(Itens_B!$D10="mitigacao",IF(Entradas_B!AA10="Sim",-Itens_B!$C10,Itens_B!$C10),IF(Itens_B!$D10="evidencia",IF(Entradas_B!AA10="Sim",-Itens_B!$C10,0),0))))</f>
        <v/>
      </c>
      <c r="AA12">
        <f>IF(Entradas_B!AB10="N/A",0,IF(Itens_B!$D10="risco",IF(Entradas_B!AB10=Itens_B!$E10,Itens_B!$C10,0),IF(Itens_B!$D10="mitigacao",IF(Entradas_B!AB10="Sim",-Itens_B!$C10,Itens_B!$C10),IF(Itens_B!$D10="evidencia",IF(Entradas_B!AB10="Sim",-Itens_B!$C10,0),0))))</f>
        <v/>
      </c>
      <c r="AB12">
        <f>IF(Entradas_B!AC10="N/A",0,IF(Itens_B!$D10="risco",IF(Entradas_B!AC10=Itens_B!$E10,Itens_B!$C10,0),IF(Itens_B!$D10="mitigacao",IF(Entradas_B!AC10="Sim",-Itens_B!$C10,Itens_B!$C10),IF(Itens_B!$D10="evidencia",IF(Entradas_B!AC10="Sim",-Itens_B!$C10,0),0))))</f>
        <v/>
      </c>
      <c r="AC12">
        <f>IF(Entradas_B!AD10="N/A",0,IF(Itens_B!$D10="risco",IF(Entradas_B!AD10=Itens_B!$E10,Itens_B!$C10,0),IF(Itens_B!$D10="mitigacao",IF(Entradas_B!AD10="Sim",-Itens_B!$C10,Itens_B!$C10),IF(Itens_B!$D10="evidencia",IF(Entradas_B!AD10="Sim",-Itens_B!$C10,0),0))))</f>
        <v/>
      </c>
      <c r="AD12">
        <f>IF(Entradas_B!AE10="N/A",0,IF(Itens_B!$D10="risco",IF(Entradas_B!AE10=Itens_B!$E10,Itens_B!$C10,0),IF(Itens_B!$D10="mitigacao",IF(Entradas_B!AE10="Sim",-Itens_B!$C10,Itens_B!$C10),IF(Itens_B!$D10="evidencia",IF(Entradas_B!AE10="Sim",-Itens_B!$C10,0),0))))</f>
        <v/>
      </c>
      <c r="AE12">
        <f>IF(Entradas_B!AF10="N/A",0,IF(Itens_B!$D10="risco",IF(Entradas_B!AF10=Itens_B!$E10,Itens_B!$C10,0),IF(Itens_B!$D10="mitigacao",IF(Entradas_B!AF10="Sim",-Itens_B!$C10,Itens_B!$C10),IF(Itens_B!$D10="evidencia",IF(Entradas_B!AF10="Sim",-Itens_B!$C10,0),0))))</f>
        <v/>
      </c>
      <c r="AF12">
        <f>IF(Entradas_B!AG10="N/A",0,IF(Itens_B!$D10="risco",IF(Entradas_B!AG10=Itens_B!$E10,Itens_B!$C10,0),IF(Itens_B!$D10="mitigacao",IF(Entradas_B!AG10="Sim",-Itens_B!$C10,Itens_B!$C10),IF(Itens_B!$D10="evidencia",IF(Entradas_B!AG10="Sim",-Itens_B!$C10,0),0))))</f>
        <v/>
      </c>
    </row>
    <row r="13">
      <c r="A13" t="inlineStr">
        <is>
          <t>P2.3</t>
        </is>
      </c>
      <c r="B13">
        <f>IF(Entradas_B!C11="N/A",0,IF(Itens_B!$D11="risco",IF(Entradas_B!C11=Itens_B!$E11,Itens_B!$C11,0),IF(Itens_B!$D11="mitigacao",IF(Entradas_B!C11="Sim",-Itens_B!$C11,Itens_B!$C11),IF(Itens_B!$D11="evidencia",IF(Entradas_B!C11="Sim",-Itens_B!$C11,0),0))))</f>
        <v/>
      </c>
      <c r="C13">
        <f>IF(Entradas_B!D11="N/A",0,IF(Itens_B!$D11="risco",IF(Entradas_B!D11=Itens_B!$E11,Itens_B!$C11,0),IF(Itens_B!$D11="mitigacao",IF(Entradas_B!D11="Sim",-Itens_B!$C11,Itens_B!$C11),IF(Itens_B!$D11="evidencia",IF(Entradas_B!D11="Sim",-Itens_B!$C11,0),0))))</f>
        <v/>
      </c>
      <c r="D13">
        <f>IF(Entradas_B!E11="N/A",0,IF(Itens_B!$D11="risco",IF(Entradas_B!E11=Itens_B!$E11,Itens_B!$C11,0),IF(Itens_B!$D11="mitigacao",IF(Entradas_B!E11="Sim",-Itens_B!$C11,Itens_B!$C11),IF(Itens_B!$D11="evidencia",IF(Entradas_B!E11="Sim",-Itens_B!$C11,0),0))))</f>
        <v/>
      </c>
      <c r="E13">
        <f>IF(Entradas_B!F11="N/A",0,IF(Itens_B!$D11="risco",IF(Entradas_B!F11=Itens_B!$E11,Itens_B!$C11,0),IF(Itens_B!$D11="mitigacao",IF(Entradas_B!F11="Sim",-Itens_B!$C11,Itens_B!$C11),IF(Itens_B!$D11="evidencia",IF(Entradas_B!F11="Sim",-Itens_B!$C11,0),0))))</f>
        <v/>
      </c>
      <c r="F13">
        <f>IF(Entradas_B!G11="N/A",0,IF(Itens_B!$D11="risco",IF(Entradas_B!G11=Itens_B!$E11,Itens_B!$C11,0),IF(Itens_B!$D11="mitigacao",IF(Entradas_B!G11="Sim",-Itens_B!$C11,Itens_B!$C11),IF(Itens_B!$D11="evidencia",IF(Entradas_B!G11="Sim",-Itens_B!$C11,0),0))))</f>
        <v/>
      </c>
      <c r="G13">
        <f>IF(Entradas_B!H11="N/A",0,IF(Itens_B!$D11="risco",IF(Entradas_B!H11=Itens_B!$E11,Itens_B!$C11,0),IF(Itens_B!$D11="mitigacao",IF(Entradas_B!H11="Sim",-Itens_B!$C11,Itens_B!$C11),IF(Itens_B!$D11="evidencia",IF(Entradas_B!H11="Sim",-Itens_B!$C11,0),0))))</f>
        <v/>
      </c>
      <c r="H13">
        <f>IF(Entradas_B!I11="N/A",0,IF(Itens_B!$D11="risco",IF(Entradas_B!I11=Itens_B!$E11,Itens_B!$C11,0),IF(Itens_B!$D11="mitigacao",IF(Entradas_B!I11="Sim",-Itens_B!$C11,Itens_B!$C11),IF(Itens_B!$D11="evidencia",IF(Entradas_B!I11="Sim",-Itens_B!$C11,0),0))))</f>
        <v/>
      </c>
      <c r="I13">
        <f>IF(Entradas_B!J11="N/A",0,IF(Itens_B!$D11="risco",IF(Entradas_B!J11=Itens_B!$E11,Itens_B!$C11,0),IF(Itens_B!$D11="mitigacao",IF(Entradas_B!J11="Sim",-Itens_B!$C11,Itens_B!$C11),IF(Itens_B!$D11="evidencia",IF(Entradas_B!J11="Sim",-Itens_B!$C11,0),0))))</f>
        <v/>
      </c>
      <c r="J13">
        <f>IF(Entradas_B!K11="N/A",0,IF(Itens_B!$D11="risco",IF(Entradas_B!K11=Itens_B!$E11,Itens_B!$C11,0),IF(Itens_B!$D11="mitigacao",IF(Entradas_B!K11="Sim",-Itens_B!$C11,Itens_B!$C11),IF(Itens_B!$D11="evidencia",IF(Entradas_B!K11="Sim",-Itens_B!$C11,0),0))))</f>
        <v/>
      </c>
      <c r="K13">
        <f>IF(Entradas_B!L11="N/A",0,IF(Itens_B!$D11="risco",IF(Entradas_B!L11=Itens_B!$E11,Itens_B!$C11,0),IF(Itens_B!$D11="mitigacao",IF(Entradas_B!L11="Sim",-Itens_B!$C11,Itens_B!$C11),IF(Itens_B!$D11="evidencia",IF(Entradas_B!L11="Sim",-Itens_B!$C11,0),0))))</f>
        <v/>
      </c>
      <c r="L13">
        <f>IF(Entradas_B!M11="N/A",0,IF(Itens_B!$D11="risco",IF(Entradas_B!M11=Itens_B!$E11,Itens_B!$C11,0),IF(Itens_B!$D11="mitigacao",IF(Entradas_B!M11="Sim",-Itens_B!$C11,Itens_B!$C11),IF(Itens_B!$D11="evidencia",IF(Entradas_B!M11="Sim",-Itens_B!$C11,0),0))))</f>
        <v/>
      </c>
      <c r="M13">
        <f>IF(Entradas_B!N11="N/A",0,IF(Itens_B!$D11="risco",IF(Entradas_B!N11=Itens_B!$E11,Itens_B!$C11,0),IF(Itens_B!$D11="mitigacao",IF(Entradas_B!N11="Sim",-Itens_B!$C11,Itens_B!$C11),IF(Itens_B!$D11="evidencia",IF(Entradas_B!N11="Sim",-Itens_B!$C11,0),0))))</f>
        <v/>
      </c>
      <c r="N13">
        <f>IF(Entradas_B!O11="N/A",0,IF(Itens_B!$D11="risco",IF(Entradas_B!O11=Itens_B!$E11,Itens_B!$C11,0),IF(Itens_B!$D11="mitigacao",IF(Entradas_B!O11="Sim",-Itens_B!$C11,Itens_B!$C11),IF(Itens_B!$D11="evidencia",IF(Entradas_B!O11="Sim",-Itens_B!$C11,0),0))))</f>
        <v/>
      </c>
      <c r="O13">
        <f>IF(Entradas_B!P11="N/A",0,IF(Itens_B!$D11="risco",IF(Entradas_B!P11=Itens_B!$E11,Itens_B!$C11,0),IF(Itens_B!$D11="mitigacao",IF(Entradas_B!P11="Sim",-Itens_B!$C11,Itens_B!$C11),IF(Itens_B!$D11="evidencia",IF(Entradas_B!P11="Sim",-Itens_B!$C11,0),0))))</f>
        <v/>
      </c>
      <c r="P13">
        <f>IF(Entradas_B!Q11="N/A",0,IF(Itens_B!$D11="risco",IF(Entradas_B!Q11=Itens_B!$E11,Itens_B!$C11,0),IF(Itens_B!$D11="mitigacao",IF(Entradas_B!Q11="Sim",-Itens_B!$C11,Itens_B!$C11),IF(Itens_B!$D11="evidencia",IF(Entradas_B!Q11="Sim",-Itens_B!$C11,0),0))))</f>
        <v/>
      </c>
      <c r="Q13">
        <f>IF(Entradas_B!R11="N/A",0,IF(Itens_B!$D11="risco",IF(Entradas_B!R11=Itens_B!$E11,Itens_B!$C11,0),IF(Itens_B!$D11="mitigacao",IF(Entradas_B!R11="Sim",-Itens_B!$C11,Itens_B!$C11),IF(Itens_B!$D11="evidencia",IF(Entradas_B!R11="Sim",-Itens_B!$C11,0),0))))</f>
        <v/>
      </c>
      <c r="R13">
        <f>IF(Entradas_B!S11="N/A",0,IF(Itens_B!$D11="risco",IF(Entradas_B!S11=Itens_B!$E11,Itens_B!$C11,0),IF(Itens_B!$D11="mitigacao",IF(Entradas_B!S11="Sim",-Itens_B!$C11,Itens_B!$C11),IF(Itens_B!$D11="evidencia",IF(Entradas_B!S11="Sim",-Itens_B!$C11,0),0))))</f>
        <v/>
      </c>
      <c r="S13">
        <f>IF(Entradas_B!T11="N/A",0,IF(Itens_B!$D11="risco",IF(Entradas_B!T11=Itens_B!$E11,Itens_B!$C11,0),IF(Itens_B!$D11="mitigacao",IF(Entradas_B!T11="Sim",-Itens_B!$C11,Itens_B!$C11),IF(Itens_B!$D11="evidencia",IF(Entradas_B!T11="Sim",-Itens_B!$C11,0),0))))</f>
        <v/>
      </c>
      <c r="T13">
        <f>IF(Entradas_B!U11="N/A",0,IF(Itens_B!$D11="risco",IF(Entradas_B!U11=Itens_B!$E11,Itens_B!$C11,0),IF(Itens_B!$D11="mitigacao",IF(Entradas_B!U11="Sim",-Itens_B!$C11,Itens_B!$C11),IF(Itens_B!$D11="evidencia",IF(Entradas_B!U11="Sim",-Itens_B!$C11,0),0))))</f>
        <v/>
      </c>
      <c r="U13">
        <f>IF(Entradas_B!V11="N/A",0,IF(Itens_B!$D11="risco",IF(Entradas_B!V11=Itens_B!$E11,Itens_B!$C11,0),IF(Itens_B!$D11="mitigacao",IF(Entradas_B!V11="Sim",-Itens_B!$C11,Itens_B!$C11),IF(Itens_B!$D11="evidencia",IF(Entradas_B!V11="Sim",-Itens_B!$C11,0),0))))</f>
        <v/>
      </c>
      <c r="V13">
        <f>IF(Entradas_B!W11="N/A",0,IF(Itens_B!$D11="risco",IF(Entradas_B!W11=Itens_B!$E11,Itens_B!$C11,0),IF(Itens_B!$D11="mitigacao",IF(Entradas_B!W11="Sim",-Itens_B!$C11,Itens_B!$C11),IF(Itens_B!$D11="evidencia",IF(Entradas_B!W11="Sim",-Itens_B!$C11,0),0))))</f>
        <v/>
      </c>
      <c r="W13">
        <f>IF(Entradas_B!X11="N/A",0,IF(Itens_B!$D11="risco",IF(Entradas_B!X11=Itens_B!$E11,Itens_B!$C11,0),IF(Itens_B!$D11="mitigacao",IF(Entradas_B!X11="Sim",-Itens_B!$C11,Itens_B!$C11),IF(Itens_B!$D11="evidencia",IF(Entradas_B!X11="Sim",-Itens_B!$C11,0),0))))</f>
        <v/>
      </c>
      <c r="X13">
        <f>IF(Entradas_B!Y11="N/A",0,IF(Itens_B!$D11="risco",IF(Entradas_B!Y11=Itens_B!$E11,Itens_B!$C11,0),IF(Itens_B!$D11="mitigacao",IF(Entradas_B!Y11="Sim",-Itens_B!$C11,Itens_B!$C11),IF(Itens_B!$D11="evidencia",IF(Entradas_B!Y11="Sim",-Itens_B!$C11,0),0))))</f>
        <v/>
      </c>
      <c r="Y13">
        <f>IF(Entradas_B!Z11="N/A",0,IF(Itens_B!$D11="risco",IF(Entradas_B!Z11=Itens_B!$E11,Itens_B!$C11,0),IF(Itens_B!$D11="mitigacao",IF(Entradas_B!Z11="Sim",-Itens_B!$C11,Itens_B!$C11),IF(Itens_B!$D11="evidencia",IF(Entradas_B!Z11="Sim",-Itens_B!$C11,0),0))))</f>
        <v/>
      </c>
      <c r="Z13">
        <f>IF(Entradas_B!AA11="N/A",0,IF(Itens_B!$D11="risco",IF(Entradas_B!AA11=Itens_B!$E11,Itens_B!$C11,0),IF(Itens_B!$D11="mitigacao",IF(Entradas_B!AA11="Sim",-Itens_B!$C11,Itens_B!$C11),IF(Itens_B!$D11="evidencia",IF(Entradas_B!AA11="Sim",-Itens_B!$C11,0),0))))</f>
        <v/>
      </c>
      <c r="AA13">
        <f>IF(Entradas_B!AB11="N/A",0,IF(Itens_B!$D11="risco",IF(Entradas_B!AB11=Itens_B!$E11,Itens_B!$C11,0),IF(Itens_B!$D11="mitigacao",IF(Entradas_B!AB11="Sim",-Itens_B!$C11,Itens_B!$C11),IF(Itens_B!$D11="evidencia",IF(Entradas_B!AB11="Sim",-Itens_B!$C11,0),0))))</f>
        <v/>
      </c>
      <c r="AB13">
        <f>IF(Entradas_B!AC11="N/A",0,IF(Itens_B!$D11="risco",IF(Entradas_B!AC11=Itens_B!$E11,Itens_B!$C11,0),IF(Itens_B!$D11="mitigacao",IF(Entradas_B!AC11="Sim",-Itens_B!$C11,Itens_B!$C11),IF(Itens_B!$D11="evidencia",IF(Entradas_B!AC11="Sim",-Itens_B!$C11,0),0))))</f>
        <v/>
      </c>
      <c r="AC13">
        <f>IF(Entradas_B!AD11="N/A",0,IF(Itens_B!$D11="risco",IF(Entradas_B!AD11=Itens_B!$E11,Itens_B!$C11,0),IF(Itens_B!$D11="mitigacao",IF(Entradas_B!AD11="Sim",-Itens_B!$C11,Itens_B!$C11),IF(Itens_B!$D11="evidencia",IF(Entradas_B!AD11="Sim",-Itens_B!$C11,0),0))))</f>
        <v/>
      </c>
      <c r="AD13">
        <f>IF(Entradas_B!AE11="N/A",0,IF(Itens_B!$D11="risco",IF(Entradas_B!AE11=Itens_B!$E11,Itens_B!$C11,0),IF(Itens_B!$D11="mitigacao",IF(Entradas_B!AE11="Sim",-Itens_B!$C11,Itens_B!$C11),IF(Itens_B!$D11="evidencia",IF(Entradas_B!AE11="Sim",-Itens_B!$C11,0),0))))</f>
        <v/>
      </c>
      <c r="AE13">
        <f>IF(Entradas_B!AF11="N/A",0,IF(Itens_B!$D11="risco",IF(Entradas_B!AF11=Itens_B!$E11,Itens_B!$C11,0),IF(Itens_B!$D11="mitigacao",IF(Entradas_B!AF11="Sim",-Itens_B!$C11,Itens_B!$C11),IF(Itens_B!$D11="evidencia",IF(Entradas_B!AF11="Sim",-Itens_B!$C11,0),0))))</f>
        <v/>
      </c>
      <c r="AF13">
        <f>IF(Entradas_B!AG11="N/A",0,IF(Itens_B!$D11="risco",IF(Entradas_B!AG11=Itens_B!$E11,Itens_B!$C11,0),IF(Itens_B!$D11="mitigacao",IF(Entradas_B!AG11="Sim",-Itens_B!$C11,Itens_B!$C11),IF(Itens_B!$D11="evidencia",IF(Entradas_B!AG11="Sim",-Itens_B!$C11,0),0))))</f>
        <v/>
      </c>
    </row>
    <row r="14">
      <c r="A14" t="inlineStr">
        <is>
          <t>P2.4</t>
        </is>
      </c>
      <c r="B14">
        <f>IF(Entradas_B!C12="N/A",0,IF(Itens_B!$D12="risco",IF(Entradas_B!C12=Itens_B!$E12,Itens_B!$C12,0),IF(Itens_B!$D12="mitigacao",IF(Entradas_B!C12="Sim",-Itens_B!$C12,Itens_B!$C12),IF(Itens_B!$D12="evidencia",IF(Entradas_B!C12="Sim",-Itens_B!$C12,0),0))))</f>
        <v/>
      </c>
      <c r="C14">
        <f>IF(Entradas_B!D12="N/A",0,IF(Itens_B!$D12="risco",IF(Entradas_B!D12=Itens_B!$E12,Itens_B!$C12,0),IF(Itens_B!$D12="mitigacao",IF(Entradas_B!D12="Sim",-Itens_B!$C12,Itens_B!$C12),IF(Itens_B!$D12="evidencia",IF(Entradas_B!D12="Sim",-Itens_B!$C12,0),0))))</f>
        <v/>
      </c>
      <c r="D14">
        <f>IF(Entradas_B!E12="N/A",0,IF(Itens_B!$D12="risco",IF(Entradas_B!E12=Itens_B!$E12,Itens_B!$C12,0),IF(Itens_B!$D12="mitigacao",IF(Entradas_B!E12="Sim",-Itens_B!$C12,Itens_B!$C12),IF(Itens_B!$D12="evidencia",IF(Entradas_B!E12="Sim",-Itens_B!$C12,0),0))))</f>
        <v/>
      </c>
      <c r="E14">
        <f>IF(Entradas_B!F12="N/A",0,IF(Itens_B!$D12="risco",IF(Entradas_B!F12=Itens_B!$E12,Itens_B!$C12,0),IF(Itens_B!$D12="mitigacao",IF(Entradas_B!F12="Sim",-Itens_B!$C12,Itens_B!$C12),IF(Itens_B!$D12="evidencia",IF(Entradas_B!F12="Sim",-Itens_B!$C12,0),0))))</f>
        <v/>
      </c>
      <c r="F14">
        <f>IF(Entradas_B!G12="N/A",0,IF(Itens_B!$D12="risco",IF(Entradas_B!G12=Itens_B!$E12,Itens_B!$C12,0),IF(Itens_B!$D12="mitigacao",IF(Entradas_B!G12="Sim",-Itens_B!$C12,Itens_B!$C12),IF(Itens_B!$D12="evidencia",IF(Entradas_B!G12="Sim",-Itens_B!$C12,0),0))))</f>
        <v/>
      </c>
      <c r="G14">
        <f>IF(Entradas_B!H12="N/A",0,IF(Itens_B!$D12="risco",IF(Entradas_B!H12=Itens_B!$E12,Itens_B!$C12,0),IF(Itens_B!$D12="mitigacao",IF(Entradas_B!H12="Sim",-Itens_B!$C12,Itens_B!$C12),IF(Itens_B!$D12="evidencia",IF(Entradas_B!H12="Sim",-Itens_B!$C12,0),0))))</f>
        <v/>
      </c>
      <c r="H14">
        <f>IF(Entradas_B!I12="N/A",0,IF(Itens_B!$D12="risco",IF(Entradas_B!I12=Itens_B!$E12,Itens_B!$C12,0),IF(Itens_B!$D12="mitigacao",IF(Entradas_B!I12="Sim",-Itens_B!$C12,Itens_B!$C12),IF(Itens_B!$D12="evidencia",IF(Entradas_B!I12="Sim",-Itens_B!$C12,0),0))))</f>
        <v/>
      </c>
      <c r="I14">
        <f>IF(Entradas_B!J12="N/A",0,IF(Itens_B!$D12="risco",IF(Entradas_B!J12=Itens_B!$E12,Itens_B!$C12,0),IF(Itens_B!$D12="mitigacao",IF(Entradas_B!J12="Sim",-Itens_B!$C12,Itens_B!$C12),IF(Itens_B!$D12="evidencia",IF(Entradas_B!J12="Sim",-Itens_B!$C12,0),0))))</f>
        <v/>
      </c>
      <c r="J14">
        <f>IF(Entradas_B!K12="N/A",0,IF(Itens_B!$D12="risco",IF(Entradas_B!K12=Itens_B!$E12,Itens_B!$C12,0),IF(Itens_B!$D12="mitigacao",IF(Entradas_B!K12="Sim",-Itens_B!$C12,Itens_B!$C12),IF(Itens_B!$D12="evidencia",IF(Entradas_B!K12="Sim",-Itens_B!$C12,0),0))))</f>
        <v/>
      </c>
      <c r="K14">
        <f>IF(Entradas_B!L12="N/A",0,IF(Itens_B!$D12="risco",IF(Entradas_B!L12=Itens_B!$E12,Itens_B!$C12,0),IF(Itens_B!$D12="mitigacao",IF(Entradas_B!L12="Sim",-Itens_B!$C12,Itens_B!$C12),IF(Itens_B!$D12="evidencia",IF(Entradas_B!L12="Sim",-Itens_B!$C12,0),0))))</f>
        <v/>
      </c>
      <c r="L14">
        <f>IF(Entradas_B!M12="N/A",0,IF(Itens_B!$D12="risco",IF(Entradas_B!M12=Itens_B!$E12,Itens_B!$C12,0),IF(Itens_B!$D12="mitigacao",IF(Entradas_B!M12="Sim",-Itens_B!$C12,Itens_B!$C12),IF(Itens_B!$D12="evidencia",IF(Entradas_B!M12="Sim",-Itens_B!$C12,0),0))))</f>
        <v/>
      </c>
      <c r="M14">
        <f>IF(Entradas_B!N12="N/A",0,IF(Itens_B!$D12="risco",IF(Entradas_B!N12=Itens_B!$E12,Itens_B!$C12,0),IF(Itens_B!$D12="mitigacao",IF(Entradas_B!N12="Sim",-Itens_B!$C12,Itens_B!$C12),IF(Itens_B!$D12="evidencia",IF(Entradas_B!N12="Sim",-Itens_B!$C12,0),0))))</f>
        <v/>
      </c>
      <c r="N14">
        <f>IF(Entradas_B!O12="N/A",0,IF(Itens_B!$D12="risco",IF(Entradas_B!O12=Itens_B!$E12,Itens_B!$C12,0),IF(Itens_B!$D12="mitigacao",IF(Entradas_B!O12="Sim",-Itens_B!$C12,Itens_B!$C12),IF(Itens_B!$D12="evidencia",IF(Entradas_B!O12="Sim",-Itens_B!$C12,0),0))))</f>
        <v/>
      </c>
      <c r="O14">
        <f>IF(Entradas_B!P12="N/A",0,IF(Itens_B!$D12="risco",IF(Entradas_B!P12=Itens_B!$E12,Itens_B!$C12,0),IF(Itens_B!$D12="mitigacao",IF(Entradas_B!P12="Sim",-Itens_B!$C12,Itens_B!$C12),IF(Itens_B!$D12="evidencia",IF(Entradas_B!P12="Sim",-Itens_B!$C12,0),0))))</f>
        <v/>
      </c>
      <c r="P14">
        <f>IF(Entradas_B!Q12="N/A",0,IF(Itens_B!$D12="risco",IF(Entradas_B!Q12=Itens_B!$E12,Itens_B!$C12,0),IF(Itens_B!$D12="mitigacao",IF(Entradas_B!Q12="Sim",-Itens_B!$C12,Itens_B!$C12),IF(Itens_B!$D12="evidencia",IF(Entradas_B!Q12="Sim",-Itens_B!$C12,0),0))))</f>
        <v/>
      </c>
      <c r="Q14">
        <f>IF(Entradas_B!R12="N/A",0,IF(Itens_B!$D12="risco",IF(Entradas_B!R12=Itens_B!$E12,Itens_B!$C12,0),IF(Itens_B!$D12="mitigacao",IF(Entradas_B!R12="Sim",-Itens_B!$C12,Itens_B!$C12),IF(Itens_B!$D12="evidencia",IF(Entradas_B!R12="Sim",-Itens_B!$C12,0),0))))</f>
        <v/>
      </c>
      <c r="R14">
        <f>IF(Entradas_B!S12="N/A",0,IF(Itens_B!$D12="risco",IF(Entradas_B!S12=Itens_B!$E12,Itens_B!$C12,0),IF(Itens_B!$D12="mitigacao",IF(Entradas_B!S12="Sim",-Itens_B!$C12,Itens_B!$C12),IF(Itens_B!$D12="evidencia",IF(Entradas_B!S12="Sim",-Itens_B!$C12,0),0))))</f>
        <v/>
      </c>
      <c r="S14">
        <f>IF(Entradas_B!T12="N/A",0,IF(Itens_B!$D12="risco",IF(Entradas_B!T12=Itens_B!$E12,Itens_B!$C12,0),IF(Itens_B!$D12="mitigacao",IF(Entradas_B!T12="Sim",-Itens_B!$C12,Itens_B!$C12),IF(Itens_B!$D12="evidencia",IF(Entradas_B!T12="Sim",-Itens_B!$C12,0),0))))</f>
        <v/>
      </c>
      <c r="T14">
        <f>IF(Entradas_B!U12="N/A",0,IF(Itens_B!$D12="risco",IF(Entradas_B!U12=Itens_B!$E12,Itens_B!$C12,0),IF(Itens_B!$D12="mitigacao",IF(Entradas_B!U12="Sim",-Itens_B!$C12,Itens_B!$C12),IF(Itens_B!$D12="evidencia",IF(Entradas_B!U12="Sim",-Itens_B!$C12,0),0))))</f>
        <v/>
      </c>
      <c r="U14">
        <f>IF(Entradas_B!V12="N/A",0,IF(Itens_B!$D12="risco",IF(Entradas_B!V12=Itens_B!$E12,Itens_B!$C12,0),IF(Itens_B!$D12="mitigacao",IF(Entradas_B!V12="Sim",-Itens_B!$C12,Itens_B!$C12),IF(Itens_B!$D12="evidencia",IF(Entradas_B!V12="Sim",-Itens_B!$C12,0),0))))</f>
        <v/>
      </c>
      <c r="V14">
        <f>IF(Entradas_B!W12="N/A",0,IF(Itens_B!$D12="risco",IF(Entradas_B!W12=Itens_B!$E12,Itens_B!$C12,0),IF(Itens_B!$D12="mitigacao",IF(Entradas_B!W12="Sim",-Itens_B!$C12,Itens_B!$C12),IF(Itens_B!$D12="evidencia",IF(Entradas_B!W12="Sim",-Itens_B!$C12,0),0))))</f>
        <v/>
      </c>
      <c r="W14">
        <f>IF(Entradas_B!X12="N/A",0,IF(Itens_B!$D12="risco",IF(Entradas_B!X12=Itens_B!$E12,Itens_B!$C12,0),IF(Itens_B!$D12="mitigacao",IF(Entradas_B!X12="Sim",-Itens_B!$C12,Itens_B!$C12),IF(Itens_B!$D12="evidencia",IF(Entradas_B!X12="Sim",-Itens_B!$C12,0),0))))</f>
        <v/>
      </c>
      <c r="X14">
        <f>IF(Entradas_B!Y12="N/A",0,IF(Itens_B!$D12="risco",IF(Entradas_B!Y12=Itens_B!$E12,Itens_B!$C12,0),IF(Itens_B!$D12="mitigacao",IF(Entradas_B!Y12="Sim",-Itens_B!$C12,Itens_B!$C12),IF(Itens_B!$D12="evidencia",IF(Entradas_B!Y12="Sim",-Itens_B!$C12,0),0))))</f>
        <v/>
      </c>
      <c r="Y14">
        <f>IF(Entradas_B!Z12="N/A",0,IF(Itens_B!$D12="risco",IF(Entradas_B!Z12=Itens_B!$E12,Itens_B!$C12,0),IF(Itens_B!$D12="mitigacao",IF(Entradas_B!Z12="Sim",-Itens_B!$C12,Itens_B!$C12),IF(Itens_B!$D12="evidencia",IF(Entradas_B!Z12="Sim",-Itens_B!$C12,0),0))))</f>
        <v/>
      </c>
      <c r="Z14">
        <f>IF(Entradas_B!AA12="N/A",0,IF(Itens_B!$D12="risco",IF(Entradas_B!AA12=Itens_B!$E12,Itens_B!$C12,0),IF(Itens_B!$D12="mitigacao",IF(Entradas_B!AA12="Sim",-Itens_B!$C12,Itens_B!$C12),IF(Itens_B!$D12="evidencia",IF(Entradas_B!AA12="Sim",-Itens_B!$C12,0),0))))</f>
        <v/>
      </c>
      <c r="AA14">
        <f>IF(Entradas_B!AB12="N/A",0,IF(Itens_B!$D12="risco",IF(Entradas_B!AB12=Itens_B!$E12,Itens_B!$C12,0),IF(Itens_B!$D12="mitigacao",IF(Entradas_B!AB12="Sim",-Itens_B!$C12,Itens_B!$C12),IF(Itens_B!$D12="evidencia",IF(Entradas_B!AB12="Sim",-Itens_B!$C12,0),0))))</f>
        <v/>
      </c>
      <c r="AB14">
        <f>IF(Entradas_B!AC12="N/A",0,IF(Itens_B!$D12="risco",IF(Entradas_B!AC12=Itens_B!$E12,Itens_B!$C12,0),IF(Itens_B!$D12="mitigacao",IF(Entradas_B!AC12="Sim",-Itens_B!$C12,Itens_B!$C12),IF(Itens_B!$D12="evidencia",IF(Entradas_B!AC12="Sim",-Itens_B!$C12,0),0))))</f>
        <v/>
      </c>
      <c r="AC14">
        <f>IF(Entradas_B!AD12="N/A",0,IF(Itens_B!$D12="risco",IF(Entradas_B!AD12=Itens_B!$E12,Itens_B!$C12,0),IF(Itens_B!$D12="mitigacao",IF(Entradas_B!AD12="Sim",-Itens_B!$C12,Itens_B!$C12),IF(Itens_B!$D12="evidencia",IF(Entradas_B!AD12="Sim",-Itens_B!$C12,0),0))))</f>
        <v/>
      </c>
      <c r="AD14">
        <f>IF(Entradas_B!AE12="N/A",0,IF(Itens_B!$D12="risco",IF(Entradas_B!AE12=Itens_B!$E12,Itens_B!$C12,0),IF(Itens_B!$D12="mitigacao",IF(Entradas_B!AE12="Sim",-Itens_B!$C12,Itens_B!$C12),IF(Itens_B!$D12="evidencia",IF(Entradas_B!AE12="Sim",-Itens_B!$C12,0),0))))</f>
        <v/>
      </c>
      <c r="AE14">
        <f>IF(Entradas_B!AF12="N/A",0,IF(Itens_B!$D12="risco",IF(Entradas_B!AF12=Itens_B!$E12,Itens_B!$C12,0),IF(Itens_B!$D12="mitigacao",IF(Entradas_B!AF12="Sim",-Itens_B!$C12,Itens_B!$C12),IF(Itens_B!$D12="evidencia",IF(Entradas_B!AF12="Sim",-Itens_B!$C12,0),0))))</f>
        <v/>
      </c>
      <c r="AF14">
        <f>IF(Entradas_B!AG12="N/A",0,IF(Itens_B!$D12="risco",IF(Entradas_B!AG12=Itens_B!$E12,Itens_B!$C12,0),IF(Itens_B!$D12="mitigacao",IF(Entradas_B!AG12="Sim",-Itens_B!$C12,Itens_B!$C12),IF(Itens_B!$D12="evidencia",IF(Entradas_B!AG12="Sim",-Itens_B!$C12,0),0))))</f>
        <v/>
      </c>
    </row>
    <row r="15">
      <c r="A15" t="inlineStr">
        <is>
          <t>P2.5</t>
        </is>
      </c>
      <c r="B15">
        <f>IF(Entradas_B!C13="N/A",0,IF(Itens_B!$D13="risco",IF(Entradas_B!C13=Itens_B!$E13,Itens_B!$C13,0),IF(Itens_B!$D13="mitigacao",IF(Entradas_B!C13="Sim",-Itens_B!$C13,Itens_B!$C13),IF(Itens_B!$D13="evidencia",IF(Entradas_B!C13="Sim",-Itens_B!$C13,0),0))))</f>
        <v/>
      </c>
      <c r="C15">
        <f>IF(Entradas_B!D13="N/A",0,IF(Itens_B!$D13="risco",IF(Entradas_B!D13=Itens_B!$E13,Itens_B!$C13,0),IF(Itens_B!$D13="mitigacao",IF(Entradas_B!D13="Sim",-Itens_B!$C13,Itens_B!$C13),IF(Itens_B!$D13="evidencia",IF(Entradas_B!D13="Sim",-Itens_B!$C13,0),0))))</f>
        <v/>
      </c>
      <c r="D15">
        <f>IF(Entradas_B!E13="N/A",0,IF(Itens_B!$D13="risco",IF(Entradas_B!E13=Itens_B!$E13,Itens_B!$C13,0),IF(Itens_B!$D13="mitigacao",IF(Entradas_B!E13="Sim",-Itens_B!$C13,Itens_B!$C13),IF(Itens_B!$D13="evidencia",IF(Entradas_B!E13="Sim",-Itens_B!$C13,0),0))))</f>
        <v/>
      </c>
      <c r="E15">
        <f>IF(Entradas_B!F13="N/A",0,IF(Itens_B!$D13="risco",IF(Entradas_B!F13=Itens_B!$E13,Itens_B!$C13,0),IF(Itens_B!$D13="mitigacao",IF(Entradas_B!F13="Sim",-Itens_B!$C13,Itens_B!$C13),IF(Itens_B!$D13="evidencia",IF(Entradas_B!F13="Sim",-Itens_B!$C13,0),0))))</f>
        <v/>
      </c>
      <c r="F15">
        <f>IF(Entradas_B!G13="N/A",0,IF(Itens_B!$D13="risco",IF(Entradas_B!G13=Itens_B!$E13,Itens_B!$C13,0),IF(Itens_B!$D13="mitigacao",IF(Entradas_B!G13="Sim",-Itens_B!$C13,Itens_B!$C13),IF(Itens_B!$D13="evidencia",IF(Entradas_B!G13="Sim",-Itens_B!$C13,0),0))))</f>
        <v/>
      </c>
      <c r="G15">
        <f>IF(Entradas_B!H13="N/A",0,IF(Itens_B!$D13="risco",IF(Entradas_B!H13=Itens_B!$E13,Itens_B!$C13,0),IF(Itens_B!$D13="mitigacao",IF(Entradas_B!H13="Sim",-Itens_B!$C13,Itens_B!$C13),IF(Itens_B!$D13="evidencia",IF(Entradas_B!H13="Sim",-Itens_B!$C13,0),0))))</f>
        <v/>
      </c>
      <c r="H15">
        <f>IF(Entradas_B!I13="N/A",0,IF(Itens_B!$D13="risco",IF(Entradas_B!I13=Itens_B!$E13,Itens_B!$C13,0),IF(Itens_B!$D13="mitigacao",IF(Entradas_B!I13="Sim",-Itens_B!$C13,Itens_B!$C13),IF(Itens_B!$D13="evidencia",IF(Entradas_B!I13="Sim",-Itens_B!$C13,0),0))))</f>
        <v/>
      </c>
      <c r="I15">
        <f>IF(Entradas_B!J13="N/A",0,IF(Itens_B!$D13="risco",IF(Entradas_B!J13=Itens_B!$E13,Itens_B!$C13,0),IF(Itens_B!$D13="mitigacao",IF(Entradas_B!J13="Sim",-Itens_B!$C13,Itens_B!$C13),IF(Itens_B!$D13="evidencia",IF(Entradas_B!J13="Sim",-Itens_B!$C13,0),0))))</f>
        <v/>
      </c>
      <c r="J15">
        <f>IF(Entradas_B!K13="N/A",0,IF(Itens_B!$D13="risco",IF(Entradas_B!K13=Itens_B!$E13,Itens_B!$C13,0),IF(Itens_B!$D13="mitigacao",IF(Entradas_B!K13="Sim",-Itens_B!$C13,Itens_B!$C13),IF(Itens_B!$D13="evidencia",IF(Entradas_B!K13="Sim",-Itens_B!$C13,0),0))))</f>
        <v/>
      </c>
      <c r="K15">
        <f>IF(Entradas_B!L13="N/A",0,IF(Itens_B!$D13="risco",IF(Entradas_B!L13=Itens_B!$E13,Itens_B!$C13,0),IF(Itens_B!$D13="mitigacao",IF(Entradas_B!L13="Sim",-Itens_B!$C13,Itens_B!$C13),IF(Itens_B!$D13="evidencia",IF(Entradas_B!L13="Sim",-Itens_B!$C13,0),0))))</f>
        <v/>
      </c>
      <c r="L15">
        <f>IF(Entradas_B!M13="N/A",0,IF(Itens_B!$D13="risco",IF(Entradas_B!M13=Itens_B!$E13,Itens_B!$C13,0),IF(Itens_B!$D13="mitigacao",IF(Entradas_B!M13="Sim",-Itens_B!$C13,Itens_B!$C13),IF(Itens_B!$D13="evidencia",IF(Entradas_B!M13="Sim",-Itens_B!$C13,0),0))))</f>
        <v/>
      </c>
      <c r="M15">
        <f>IF(Entradas_B!N13="N/A",0,IF(Itens_B!$D13="risco",IF(Entradas_B!N13=Itens_B!$E13,Itens_B!$C13,0),IF(Itens_B!$D13="mitigacao",IF(Entradas_B!N13="Sim",-Itens_B!$C13,Itens_B!$C13),IF(Itens_B!$D13="evidencia",IF(Entradas_B!N13="Sim",-Itens_B!$C13,0),0))))</f>
        <v/>
      </c>
      <c r="N15">
        <f>IF(Entradas_B!O13="N/A",0,IF(Itens_B!$D13="risco",IF(Entradas_B!O13=Itens_B!$E13,Itens_B!$C13,0),IF(Itens_B!$D13="mitigacao",IF(Entradas_B!O13="Sim",-Itens_B!$C13,Itens_B!$C13),IF(Itens_B!$D13="evidencia",IF(Entradas_B!O13="Sim",-Itens_B!$C13,0),0))))</f>
        <v/>
      </c>
      <c r="O15">
        <f>IF(Entradas_B!P13="N/A",0,IF(Itens_B!$D13="risco",IF(Entradas_B!P13=Itens_B!$E13,Itens_B!$C13,0),IF(Itens_B!$D13="mitigacao",IF(Entradas_B!P13="Sim",-Itens_B!$C13,Itens_B!$C13),IF(Itens_B!$D13="evidencia",IF(Entradas_B!P13="Sim",-Itens_B!$C13,0),0))))</f>
        <v/>
      </c>
      <c r="P15">
        <f>IF(Entradas_B!Q13="N/A",0,IF(Itens_B!$D13="risco",IF(Entradas_B!Q13=Itens_B!$E13,Itens_B!$C13,0),IF(Itens_B!$D13="mitigacao",IF(Entradas_B!Q13="Sim",-Itens_B!$C13,Itens_B!$C13),IF(Itens_B!$D13="evidencia",IF(Entradas_B!Q13="Sim",-Itens_B!$C13,0),0))))</f>
        <v/>
      </c>
      <c r="Q15">
        <f>IF(Entradas_B!R13="N/A",0,IF(Itens_B!$D13="risco",IF(Entradas_B!R13=Itens_B!$E13,Itens_B!$C13,0),IF(Itens_B!$D13="mitigacao",IF(Entradas_B!R13="Sim",-Itens_B!$C13,Itens_B!$C13),IF(Itens_B!$D13="evidencia",IF(Entradas_B!R13="Sim",-Itens_B!$C13,0),0))))</f>
        <v/>
      </c>
      <c r="R15">
        <f>IF(Entradas_B!S13="N/A",0,IF(Itens_B!$D13="risco",IF(Entradas_B!S13=Itens_B!$E13,Itens_B!$C13,0),IF(Itens_B!$D13="mitigacao",IF(Entradas_B!S13="Sim",-Itens_B!$C13,Itens_B!$C13),IF(Itens_B!$D13="evidencia",IF(Entradas_B!S13="Sim",-Itens_B!$C13,0),0))))</f>
        <v/>
      </c>
      <c r="S15">
        <f>IF(Entradas_B!T13="N/A",0,IF(Itens_B!$D13="risco",IF(Entradas_B!T13=Itens_B!$E13,Itens_B!$C13,0),IF(Itens_B!$D13="mitigacao",IF(Entradas_B!T13="Sim",-Itens_B!$C13,Itens_B!$C13),IF(Itens_B!$D13="evidencia",IF(Entradas_B!T13="Sim",-Itens_B!$C13,0),0))))</f>
        <v/>
      </c>
      <c r="T15">
        <f>IF(Entradas_B!U13="N/A",0,IF(Itens_B!$D13="risco",IF(Entradas_B!U13=Itens_B!$E13,Itens_B!$C13,0),IF(Itens_B!$D13="mitigacao",IF(Entradas_B!U13="Sim",-Itens_B!$C13,Itens_B!$C13),IF(Itens_B!$D13="evidencia",IF(Entradas_B!U13="Sim",-Itens_B!$C13,0),0))))</f>
        <v/>
      </c>
      <c r="U15">
        <f>IF(Entradas_B!V13="N/A",0,IF(Itens_B!$D13="risco",IF(Entradas_B!V13=Itens_B!$E13,Itens_B!$C13,0),IF(Itens_B!$D13="mitigacao",IF(Entradas_B!V13="Sim",-Itens_B!$C13,Itens_B!$C13),IF(Itens_B!$D13="evidencia",IF(Entradas_B!V13="Sim",-Itens_B!$C13,0),0))))</f>
        <v/>
      </c>
      <c r="V15">
        <f>IF(Entradas_B!W13="N/A",0,IF(Itens_B!$D13="risco",IF(Entradas_B!W13=Itens_B!$E13,Itens_B!$C13,0),IF(Itens_B!$D13="mitigacao",IF(Entradas_B!W13="Sim",-Itens_B!$C13,Itens_B!$C13),IF(Itens_B!$D13="evidencia",IF(Entradas_B!W13="Sim",-Itens_B!$C13,0),0))))</f>
        <v/>
      </c>
      <c r="W15">
        <f>IF(Entradas_B!X13="N/A",0,IF(Itens_B!$D13="risco",IF(Entradas_B!X13=Itens_B!$E13,Itens_B!$C13,0),IF(Itens_B!$D13="mitigacao",IF(Entradas_B!X13="Sim",-Itens_B!$C13,Itens_B!$C13),IF(Itens_B!$D13="evidencia",IF(Entradas_B!X13="Sim",-Itens_B!$C13,0),0))))</f>
        <v/>
      </c>
      <c r="X15">
        <f>IF(Entradas_B!Y13="N/A",0,IF(Itens_B!$D13="risco",IF(Entradas_B!Y13=Itens_B!$E13,Itens_B!$C13,0),IF(Itens_B!$D13="mitigacao",IF(Entradas_B!Y13="Sim",-Itens_B!$C13,Itens_B!$C13),IF(Itens_B!$D13="evidencia",IF(Entradas_B!Y13="Sim",-Itens_B!$C13,0),0))))</f>
        <v/>
      </c>
      <c r="Y15">
        <f>IF(Entradas_B!Z13="N/A",0,IF(Itens_B!$D13="risco",IF(Entradas_B!Z13=Itens_B!$E13,Itens_B!$C13,0),IF(Itens_B!$D13="mitigacao",IF(Entradas_B!Z13="Sim",-Itens_B!$C13,Itens_B!$C13),IF(Itens_B!$D13="evidencia",IF(Entradas_B!Z13="Sim",-Itens_B!$C13,0),0))))</f>
        <v/>
      </c>
      <c r="Z15">
        <f>IF(Entradas_B!AA13="N/A",0,IF(Itens_B!$D13="risco",IF(Entradas_B!AA13=Itens_B!$E13,Itens_B!$C13,0),IF(Itens_B!$D13="mitigacao",IF(Entradas_B!AA13="Sim",-Itens_B!$C13,Itens_B!$C13),IF(Itens_B!$D13="evidencia",IF(Entradas_B!AA13="Sim",-Itens_B!$C13,0),0))))</f>
        <v/>
      </c>
      <c r="AA15">
        <f>IF(Entradas_B!AB13="N/A",0,IF(Itens_B!$D13="risco",IF(Entradas_B!AB13=Itens_B!$E13,Itens_B!$C13,0),IF(Itens_B!$D13="mitigacao",IF(Entradas_B!AB13="Sim",-Itens_B!$C13,Itens_B!$C13),IF(Itens_B!$D13="evidencia",IF(Entradas_B!AB13="Sim",-Itens_B!$C13,0),0))))</f>
        <v/>
      </c>
      <c r="AB15">
        <f>IF(Entradas_B!AC13="N/A",0,IF(Itens_B!$D13="risco",IF(Entradas_B!AC13=Itens_B!$E13,Itens_B!$C13,0),IF(Itens_B!$D13="mitigacao",IF(Entradas_B!AC13="Sim",-Itens_B!$C13,Itens_B!$C13),IF(Itens_B!$D13="evidencia",IF(Entradas_B!AC13="Sim",-Itens_B!$C13,0),0))))</f>
        <v/>
      </c>
      <c r="AC15">
        <f>IF(Entradas_B!AD13="N/A",0,IF(Itens_B!$D13="risco",IF(Entradas_B!AD13=Itens_B!$E13,Itens_B!$C13,0),IF(Itens_B!$D13="mitigacao",IF(Entradas_B!AD13="Sim",-Itens_B!$C13,Itens_B!$C13),IF(Itens_B!$D13="evidencia",IF(Entradas_B!AD13="Sim",-Itens_B!$C13,0),0))))</f>
        <v/>
      </c>
      <c r="AD15">
        <f>IF(Entradas_B!AE13="N/A",0,IF(Itens_B!$D13="risco",IF(Entradas_B!AE13=Itens_B!$E13,Itens_B!$C13,0),IF(Itens_B!$D13="mitigacao",IF(Entradas_B!AE13="Sim",-Itens_B!$C13,Itens_B!$C13),IF(Itens_B!$D13="evidencia",IF(Entradas_B!AE13="Sim",-Itens_B!$C13,0),0))))</f>
        <v/>
      </c>
      <c r="AE15">
        <f>IF(Entradas_B!AF13="N/A",0,IF(Itens_B!$D13="risco",IF(Entradas_B!AF13=Itens_B!$E13,Itens_B!$C13,0),IF(Itens_B!$D13="mitigacao",IF(Entradas_B!AF13="Sim",-Itens_B!$C13,Itens_B!$C13),IF(Itens_B!$D13="evidencia",IF(Entradas_B!AF13="Sim",-Itens_B!$C13,0),0))))</f>
        <v/>
      </c>
      <c r="AF15">
        <f>IF(Entradas_B!AG13="N/A",0,IF(Itens_B!$D13="risco",IF(Entradas_B!AG13=Itens_B!$E13,Itens_B!$C13,0),IF(Itens_B!$D13="mitigacao",IF(Entradas_B!AG13="Sim",-Itens_B!$C13,Itens_B!$C13),IF(Itens_B!$D13="evidencia",IF(Entradas_B!AG13="Sim",-Itens_B!$C13,0),0))))</f>
        <v/>
      </c>
    </row>
    <row r="16">
      <c r="A16" t="inlineStr">
        <is>
          <t>P2.6</t>
        </is>
      </c>
      <c r="B16">
        <f>IF(Entradas_B!C14="N/A",0,IF(Itens_B!$D14="risco",IF(Entradas_B!C14=Itens_B!$E14,Itens_B!$C14,0),IF(Itens_B!$D14="mitigacao",IF(Entradas_B!C14="Sim",-Itens_B!$C14,Itens_B!$C14),IF(Itens_B!$D14="evidencia",IF(Entradas_B!C14="Sim",-Itens_B!$C14,0),0))))</f>
        <v/>
      </c>
      <c r="C16">
        <f>IF(Entradas_B!D14="N/A",0,IF(Itens_B!$D14="risco",IF(Entradas_B!D14=Itens_B!$E14,Itens_B!$C14,0),IF(Itens_B!$D14="mitigacao",IF(Entradas_B!D14="Sim",-Itens_B!$C14,Itens_B!$C14),IF(Itens_B!$D14="evidencia",IF(Entradas_B!D14="Sim",-Itens_B!$C14,0),0))))</f>
        <v/>
      </c>
      <c r="D16">
        <f>IF(Entradas_B!E14="N/A",0,IF(Itens_B!$D14="risco",IF(Entradas_B!E14=Itens_B!$E14,Itens_B!$C14,0),IF(Itens_B!$D14="mitigacao",IF(Entradas_B!E14="Sim",-Itens_B!$C14,Itens_B!$C14),IF(Itens_B!$D14="evidencia",IF(Entradas_B!E14="Sim",-Itens_B!$C14,0),0))))</f>
        <v/>
      </c>
      <c r="E16">
        <f>IF(Entradas_B!F14="N/A",0,IF(Itens_B!$D14="risco",IF(Entradas_B!F14=Itens_B!$E14,Itens_B!$C14,0),IF(Itens_B!$D14="mitigacao",IF(Entradas_B!F14="Sim",-Itens_B!$C14,Itens_B!$C14),IF(Itens_B!$D14="evidencia",IF(Entradas_B!F14="Sim",-Itens_B!$C14,0),0))))</f>
        <v/>
      </c>
      <c r="F16">
        <f>IF(Entradas_B!G14="N/A",0,IF(Itens_B!$D14="risco",IF(Entradas_B!G14=Itens_B!$E14,Itens_B!$C14,0),IF(Itens_B!$D14="mitigacao",IF(Entradas_B!G14="Sim",-Itens_B!$C14,Itens_B!$C14),IF(Itens_B!$D14="evidencia",IF(Entradas_B!G14="Sim",-Itens_B!$C14,0),0))))</f>
        <v/>
      </c>
      <c r="G16">
        <f>IF(Entradas_B!H14="N/A",0,IF(Itens_B!$D14="risco",IF(Entradas_B!H14=Itens_B!$E14,Itens_B!$C14,0),IF(Itens_B!$D14="mitigacao",IF(Entradas_B!H14="Sim",-Itens_B!$C14,Itens_B!$C14),IF(Itens_B!$D14="evidencia",IF(Entradas_B!H14="Sim",-Itens_B!$C14,0),0))))</f>
        <v/>
      </c>
      <c r="H16">
        <f>IF(Entradas_B!I14="N/A",0,IF(Itens_B!$D14="risco",IF(Entradas_B!I14=Itens_B!$E14,Itens_B!$C14,0),IF(Itens_B!$D14="mitigacao",IF(Entradas_B!I14="Sim",-Itens_B!$C14,Itens_B!$C14),IF(Itens_B!$D14="evidencia",IF(Entradas_B!I14="Sim",-Itens_B!$C14,0),0))))</f>
        <v/>
      </c>
      <c r="I16">
        <f>IF(Entradas_B!J14="N/A",0,IF(Itens_B!$D14="risco",IF(Entradas_B!J14=Itens_B!$E14,Itens_B!$C14,0),IF(Itens_B!$D14="mitigacao",IF(Entradas_B!J14="Sim",-Itens_B!$C14,Itens_B!$C14),IF(Itens_B!$D14="evidencia",IF(Entradas_B!J14="Sim",-Itens_B!$C14,0),0))))</f>
        <v/>
      </c>
      <c r="J16">
        <f>IF(Entradas_B!K14="N/A",0,IF(Itens_B!$D14="risco",IF(Entradas_B!K14=Itens_B!$E14,Itens_B!$C14,0),IF(Itens_B!$D14="mitigacao",IF(Entradas_B!K14="Sim",-Itens_B!$C14,Itens_B!$C14),IF(Itens_B!$D14="evidencia",IF(Entradas_B!K14="Sim",-Itens_B!$C14,0),0))))</f>
        <v/>
      </c>
      <c r="K16">
        <f>IF(Entradas_B!L14="N/A",0,IF(Itens_B!$D14="risco",IF(Entradas_B!L14=Itens_B!$E14,Itens_B!$C14,0),IF(Itens_B!$D14="mitigacao",IF(Entradas_B!L14="Sim",-Itens_B!$C14,Itens_B!$C14),IF(Itens_B!$D14="evidencia",IF(Entradas_B!L14="Sim",-Itens_B!$C14,0),0))))</f>
        <v/>
      </c>
      <c r="L16">
        <f>IF(Entradas_B!M14="N/A",0,IF(Itens_B!$D14="risco",IF(Entradas_B!M14=Itens_B!$E14,Itens_B!$C14,0),IF(Itens_B!$D14="mitigacao",IF(Entradas_B!M14="Sim",-Itens_B!$C14,Itens_B!$C14),IF(Itens_B!$D14="evidencia",IF(Entradas_B!M14="Sim",-Itens_B!$C14,0),0))))</f>
        <v/>
      </c>
      <c r="M16">
        <f>IF(Entradas_B!N14="N/A",0,IF(Itens_B!$D14="risco",IF(Entradas_B!N14=Itens_B!$E14,Itens_B!$C14,0),IF(Itens_B!$D14="mitigacao",IF(Entradas_B!N14="Sim",-Itens_B!$C14,Itens_B!$C14),IF(Itens_B!$D14="evidencia",IF(Entradas_B!N14="Sim",-Itens_B!$C14,0),0))))</f>
        <v/>
      </c>
      <c r="N16">
        <f>IF(Entradas_B!O14="N/A",0,IF(Itens_B!$D14="risco",IF(Entradas_B!O14=Itens_B!$E14,Itens_B!$C14,0),IF(Itens_B!$D14="mitigacao",IF(Entradas_B!O14="Sim",-Itens_B!$C14,Itens_B!$C14),IF(Itens_B!$D14="evidencia",IF(Entradas_B!O14="Sim",-Itens_B!$C14,0),0))))</f>
        <v/>
      </c>
      <c r="O16">
        <f>IF(Entradas_B!P14="N/A",0,IF(Itens_B!$D14="risco",IF(Entradas_B!P14=Itens_B!$E14,Itens_B!$C14,0),IF(Itens_B!$D14="mitigacao",IF(Entradas_B!P14="Sim",-Itens_B!$C14,Itens_B!$C14),IF(Itens_B!$D14="evidencia",IF(Entradas_B!P14="Sim",-Itens_B!$C14,0),0))))</f>
        <v/>
      </c>
      <c r="P16">
        <f>IF(Entradas_B!Q14="N/A",0,IF(Itens_B!$D14="risco",IF(Entradas_B!Q14=Itens_B!$E14,Itens_B!$C14,0),IF(Itens_B!$D14="mitigacao",IF(Entradas_B!Q14="Sim",-Itens_B!$C14,Itens_B!$C14),IF(Itens_B!$D14="evidencia",IF(Entradas_B!Q14="Sim",-Itens_B!$C14,0),0))))</f>
        <v/>
      </c>
      <c r="Q16">
        <f>IF(Entradas_B!R14="N/A",0,IF(Itens_B!$D14="risco",IF(Entradas_B!R14=Itens_B!$E14,Itens_B!$C14,0),IF(Itens_B!$D14="mitigacao",IF(Entradas_B!R14="Sim",-Itens_B!$C14,Itens_B!$C14),IF(Itens_B!$D14="evidencia",IF(Entradas_B!R14="Sim",-Itens_B!$C14,0),0))))</f>
        <v/>
      </c>
      <c r="R16">
        <f>IF(Entradas_B!S14="N/A",0,IF(Itens_B!$D14="risco",IF(Entradas_B!S14=Itens_B!$E14,Itens_B!$C14,0),IF(Itens_B!$D14="mitigacao",IF(Entradas_B!S14="Sim",-Itens_B!$C14,Itens_B!$C14),IF(Itens_B!$D14="evidencia",IF(Entradas_B!S14="Sim",-Itens_B!$C14,0),0))))</f>
        <v/>
      </c>
      <c r="S16">
        <f>IF(Entradas_B!T14="N/A",0,IF(Itens_B!$D14="risco",IF(Entradas_B!T14=Itens_B!$E14,Itens_B!$C14,0),IF(Itens_B!$D14="mitigacao",IF(Entradas_B!T14="Sim",-Itens_B!$C14,Itens_B!$C14),IF(Itens_B!$D14="evidencia",IF(Entradas_B!T14="Sim",-Itens_B!$C14,0),0))))</f>
        <v/>
      </c>
      <c r="T16">
        <f>IF(Entradas_B!U14="N/A",0,IF(Itens_B!$D14="risco",IF(Entradas_B!U14=Itens_B!$E14,Itens_B!$C14,0),IF(Itens_B!$D14="mitigacao",IF(Entradas_B!U14="Sim",-Itens_B!$C14,Itens_B!$C14),IF(Itens_B!$D14="evidencia",IF(Entradas_B!U14="Sim",-Itens_B!$C14,0),0))))</f>
        <v/>
      </c>
      <c r="U16">
        <f>IF(Entradas_B!V14="N/A",0,IF(Itens_B!$D14="risco",IF(Entradas_B!V14=Itens_B!$E14,Itens_B!$C14,0),IF(Itens_B!$D14="mitigacao",IF(Entradas_B!V14="Sim",-Itens_B!$C14,Itens_B!$C14),IF(Itens_B!$D14="evidencia",IF(Entradas_B!V14="Sim",-Itens_B!$C14,0),0))))</f>
        <v/>
      </c>
      <c r="V16">
        <f>IF(Entradas_B!W14="N/A",0,IF(Itens_B!$D14="risco",IF(Entradas_B!W14=Itens_B!$E14,Itens_B!$C14,0),IF(Itens_B!$D14="mitigacao",IF(Entradas_B!W14="Sim",-Itens_B!$C14,Itens_B!$C14),IF(Itens_B!$D14="evidencia",IF(Entradas_B!W14="Sim",-Itens_B!$C14,0),0))))</f>
        <v/>
      </c>
      <c r="W16">
        <f>IF(Entradas_B!X14="N/A",0,IF(Itens_B!$D14="risco",IF(Entradas_B!X14=Itens_B!$E14,Itens_B!$C14,0),IF(Itens_B!$D14="mitigacao",IF(Entradas_B!X14="Sim",-Itens_B!$C14,Itens_B!$C14),IF(Itens_B!$D14="evidencia",IF(Entradas_B!X14="Sim",-Itens_B!$C14,0),0))))</f>
        <v/>
      </c>
      <c r="X16">
        <f>IF(Entradas_B!Y14="N/A",0,IF(Itens_B!$D14="risco",IF(Entradas_B!Y14=Itens_B!$E14,Itens_B!$C14,0),IF(Itens_B!$D14="mitigacao",IF(Entradas_B!Y14="Sim",-Itens_B!$C14,Itens_B!$C14),IF(Itens_B!$D14="evidencia",IF(Entradas_B!Y14="Sim",-Itens_B!$C14,0),0))))</f>
        <v/>
      </c>
      <c r="Y16">
        <f>IF(Entradas_B!Z14="N/A",0,IF(Itens_B!$D14="risco",IF(Entradas_B!Z14=Itens_B!$E14,Itens_B!$C14,0),IF(Itens_B!$D14="mitigacao",IF(Entradas_B!Z14="Sim",-Itens_B!$C14,Itens_B!$C14),IF(Itens_B!$D14="evidencia",IF(Entradas_B!Z14="Sim",-Itens_B!$C14,0),0))))</f>
        <v/>
      </c>
      <c r="Z16">
        <f>IF(Entradas_B!AA14="N/A",0,IF(Itens_B!$D14="risco",IF(Entradas_B!AA14=Itens_B!$E14,Itens_B!$C14,0),IF(Itens_B!$D14="mitigacao",IF(Entradas_B!AA14="Sim",-Itens_B!$C14,Itens_B!$C14),IF(Itens_B!$D14="evidencia",IF(Entradas_B!AA14="Sim",-Itens_B!$C14,0),0))))</f>
        <v/>
      </c>
      <c r="AA16">
        <f>IF(Entradas_B!AB14="N/A",0,IF(Itens_B!$D14="risco",IF(Entradas_B!AB14=Itens_B!$E14,Itens_B!$C14,0),IF(Itens_B!$D14="mitigacao",IF(Entradas_B!AB14="Sim",-Itens_B!$C14,Itens_B!$C14),IF(Itens_B!$D14="evidencia",IF(Entradas_B!AB14="Sim",-Itens_B!$C14,0),0))))</f>
        <v/>
      </c>
      <c r="AB16">
        <f>IF(Entradas_B!AC14="N/A",0,IF(Itens_B!$D14="risco",IF(Entradas_B!AC14=Itens_B!$E14,Itens_B!$C14,0),IF(Itens_B!$D14="mitigacao",IF(Entradas_B!AC14="Sim",-Itens_B!$C14,Itens_B!$C14),IF(Itens_B!$D14="evidencia",IF(Entradas_B!AC14="Sim",-Itens_B!$C14,0),0))))</f>
        <v/>
      </c>
      <c r="AC16">
        <f>IF(Entradas_B!AD14="N/A",0,IF(Itens_B!$D14="risco",IF(Entradas_B!AD14=Itens_B!$E14,Itens_B!$C14,0),IF(Itens_B!$D14="mitigacao",IF(Entradas_B!AD14="Sim",-Itens_B!$C14,Itens_B!$C14),IF(Itens_B!$D14="evidencia",IF(Entradas_B!AD14="Sim",-Itens_B!$C14,0),0))))</f>
        <v/>
      </c>
      <c r="AD16">
        <f>IF(Entradas_B!AE14="N/A",0,IF(Itens_B!$D14="risco",IF(Entradas_B!AE14=Itens_B!$E14,Itens_B!$C14,0),IF(Itens_B!$D14="mitigacao",IF(Entradas_B!AE14="Sim",-Itens_B!$C14,Itens_B!$C14),IF(Itens_B!$D14="evidencia",IF(Entradas_B!AE14="Sim",-Itens_B!$C14,0),0))))</f>
        <v/>
      </c>
      <c r="AE16">
        <f>IF(Entradas_B!AF14="N/A",0,IF(Itens_B!$D14="risco",IF(Entradas_B!AF14=Itens_B!$E14,Itens_B!$C14,0),IF(Itens_B!$D14="mitigacao",IF(Entradas_B!AF14="Sim",-Itens_B!$C14,Itens_B!$C14),IF(Itens_B!$D14="evidencia",IF(Entradas_B!AF14="Sim",-Itens_B!$C14,0),0))))</f>
        <v/>
      </c>
      <c r="AF16">
        <f>IF(Entradas_B!AG14="N/A",0,IF(Itens_B!$D14="risco",IF(Entradas_B!AG14=Itens_B!$E14,Itens_B!$C14,0),IF(Itens_B!$D14="mitigacao",IF(Entradas_B!AG14="Sim",-Itens_B!$C14,Itens_B!$C14),IF(Itens_B!$D14="evidencia",IF(Entradas_B!AG14="Sim",-Itens_B!$C14,0),0))))</f>
        <v/>
      </c>
    </row>
    <row r="17">
      <c r="A17" t="inlineStr">
        <is>
          <t>P2.7</t>
        </is>
      </c>
      <c r="B17">
        <f>IF(Entradas_B!C15="N/A",0,IF(Itens_B!$D15="risco",IF(Entradas_B!C15=Itens_B!$E15,Itens_B!$C15,0),IF(Itens_B!$D15="mitigacao",IF(Entradas_B!C15="Sim",-Itens_B!$C15,Itens_B!$C15),IF(Itens_B!$D15="evidencia",IF(Entradas_B!C15="Sim",-Itens_B!$C15,0),0))))</f>
        <v/>
      </c>
      <c r="C17">
        <f>IF(Entradas_B!D15="N/A",0,IF(Itens_B!$D15="risco",IF(Entradas_B!D15=Itens_B!$E15,Itens_B!$C15,0),IF(Itens_B!$D15="mitigacao",IF(Entradas_B!D15="Sim",-Itens_B!$C15,Itens_B!$C15),IF(Itens_B!$D15="evidencia",IF(Entradas_B!D15="Sim",-Itens_B!$C15,0),0))))</f>
        <v/>
      </c>
      <c r="D17">
        <f>IF(Entradas_B!E15="N/A",0,IF(Itens_B!$D15="risco",IF(Entradas_B!E15=Itens_B!$E15,Itens_B!$C15,0),IF(Itens_B!$D15="mitigacao",IF(Entradas_B!E15="Sim",-Itens_B!$C15,Itens_B!$C15),IF(Itens_B!$D15="evidencia",IF(Entradas_B!E15="Sim",-Itens_B!$C15,0),0))))</f>
        <v/>
      </c>
      <c r="E17">
        <f>IF(Entradas_B!F15="N/A",0,IF(Itens_B!$D15="risco",IF(Entradas_B!F15=Itens_B!$E15,Itens_B!$C15,0),IF(Itens_B!$D15="mitigacao",IF(Entradas_B!F15="Sim",-Itens_B!$C15,Itens_B!$C15),IF(Itens_B!$D15="evidencia",IF(Entradas_B!F15="Sim",-Itens_B!$C15,0),0))))</f>
        <v/>
      </c>
      <c r="F17">
        <f>IF(Entradas_B!G15="N/A",0,IF(Itens_B!$D15="risco",IF(Entradas_B!G15=Itens_B!$E15,Itens_B!$C15,0),IF(Itens_B!$D15="mitigacao",IF(Entradas_B!G15="Sim",-Itens_B!$C15,Itens_B!$C15),IF(Itens_B!$D15="evidencia",IF(Entradas_B!G15="Sim",-Itens_B!$C15,0),0))))</f>
        <v/>
      </c>
      <c r="G17">
        <f>IF(Entradas_B!H15="N/A",0,IF(Itens_B!$D15="risco",IF(Entradas_B!H15=Itens_B!$E15,Itens_B!$C15,0),IF(Itens_B!$D15="mitigacao",IF(Entradas_B!H15="Sim",-Itens_B!$C15,Itens_B!$C15),IF(Itens_B!$D15="evidencia",IF(Entradas_B!H15="Sim",-Itens_B!$C15,0),0))))</f>
        <v/>
      </c>
      <c r="H17">
        <f>IF(Entradas_B!I15="N/A",0,IF(Itens_B!$D15="risco",IF(Entradas_B!I15=Itens_B!$E15,Itens_B!$C15,0),IF(Itens_B!$D15="mitigacao",IF(Entradas_B!I15="Sim",-Itens_B!$C15,Itens_B!$C15),IF(Itens_B!$D15="evidencia",IF(Entradas_B!I15="Sim",-Itens_B!$C15,0),0))))</f>
        <v/>
      </c>
      <c r="I17">
        <f>IF(Entradas_B!J15="N/A",0,IF(Itens_B!$D15="risco",IF(Entradas_B!J15=Itens_B!$E15,Itens_B!$C15,0),IF(Itens_B!$D15="mitigacao",IF(Entradas_B!J15="Sim",-Itens_B!$C15,Itens_B!$C15),IF(Itens_B!$D15="evidencia",IF(Entradas_B!J15="Sim",-Itens_B!$C15,0),0))))</f>
        <v/>
      </c>
      <c r="J17">
        <f>IF(Entradas_B!K15="N/A",0,IF(Itens_B!$D15="risco",IF(Entradas_B!K15=Itens_B!$E15,Itens_B!$C15,0),IF(Itens_B!$D15="mitigacao",IF(Entradas_B!K15="Sim",-Itens_B!$C15,Itens_B!$C15),IF(Itens_B!$D15="evidencia",IF(Entradas_B!K15="Sim",-Itens_B!$C15,0),0))))</f>
        <v/>
      </c>
      <c r="K17">
        <f>IF(Entradas_B!L15="N/A",0,IF(Itens_B!$D15="risco",IF(Entradas_B!L15=Itens_B!$E15,Itens_B!$C15,0),IF(Itens_B!$D15="mitigacao",IF(Entradas_B!L15="Sim",-Itens_B!$C15,Itens_B!$C15),IF(Itens_B!$D15="evidencia",IF(Entradas_B!L15="Sim",-Itens_B!$C15,0),0))))</f>
        <v/>
      </c>
      <c r="L17">
        <f>IF(Entradas_B!M15="N/A",0,IF(Itens_B!$D15="risco",IF(Entradas_B!M15=Itens_B!$E15,Itens_B!$C15,0),IF(Itens_B!$D15="mitigacao",IF(Entradas_B!M15="Sim",-Itens_B!$C15,Itens_B!$C15),IF(Itens_B!$D15="evidencia",IF(Entradas_B!M15="Sim",-Itens_B!$C15,0),0))))</f>
        <v/>
      </c>
      <c r="M17">
        <f>IF(Entradas_B!N15="N/A",0,IF(Itens_B!$D15="risco",IF(Entradas_B!N15=Itens_B!$E15,Itens_B!$C15,0),IF(Itens_B!$D15="mitigacao",IF(Entradas_B!N15="Sim",-Itens_B!$C15,Itens_B!$C15),IF(Itens_B!$D15="evidencia",IF(Entradas_B!N15="Sim",-Itens_B!$C15,0),0))))</f>
        <v/>
      </c>
      <c r="N17">
        <f>IF(Entradas_B!O15="N/A",0,IF(Itens_B!$D15="risco",IF(Entradas_B!O15=Itens_B!$E15,Itens_B!$C15,0),IF(Itens_B!$D15="mitigacao",IF(Entradas_B!O15="Sim",-Itens_B!$C15,Itens_B!$C15),IF(Itens_B!$D15="evidencia",IF(Entradas_B!O15="Sim",-Itens_B!$C15,0),0))))</f>
        <v/>
      </c>
      <c r="O17">
        <f>IF(Entradas_B!P15="N/A",0,IF(Itens_B!$D15="risco",IF(Entradas_B!P15=Itens_B!$E15,Itens_B!$C15,0),IF(Itens_B!$D15="mitigacao",IF(Entradas_B!P15="Sim",-Itens_B!$C15,Itens_B!$C15),IF(Itens_B!$D15="evidencia",IF(Entradas_B!P15="Sim",-Itens_B!$C15,0),0))))</f>
        <v/>
      </c>
      <c r="P17">
        <f>IF(Entradas_B!Q15="N/A",0,IF(Itens_B!$D15="risco",IF(Entradas_B!Q15=Itens_B!$E15,Itens_B!$C15,0),IF(Itens_B!$D15="mitigacao",IF(Entradas_B!Q15="Sim",-Itens_B!$C15,Itens_B!$C15),IF(Itens_B!$D15="evidencia",IF(Entradas_B!Q15="Sim",-Itens_B!$C15,0),0))))</f>
        <v/>
      </c>
      <c r="Q17">
        <f>IF(Entradas_B!R15="N/A",0,IF(Itens_B!$D15="risco",IF(Entradas_B!R15=Itens_B!$E15,Itens_B!$C15,0),IF(Itens_B!$D15="mitigacao",IF(Entradas_B!R15="Sim",-Itens_B!$C15,Itens_B!$C15),IF(Itens_B!$D15="evidencia",IF(Entradas_B!R15="Sim",-Itens_B!$C15,0),0))))</f>
        <v/>
      </c>
      <c r="R17">
        <f>IF(Entradas_B!S15="N/A",0,IF(Itens_B!$D15="risco",IF(Entradas_B!S15=Itens_B!$E15,Itens_B!$C15,0),IF(Itens_B!$D15="mitigacao",IF(Entradas_B!S15="Sim",-Itens_B!$C15,Itens_B!$C15),IF(Itens_B!$D15="evidencia",IF(Entradas_B!S15="Sim",-Itens_B!$C15,0),0))))</f>
        <v/>
      </c>
      <c r="S17">
        <f>IF(Entradas_B!T15="N/A",0,IF(Itens_B!$D15="risco",IF(Entradas_B!T15=Itens_B!$E15,Itens_B!$C15,0),IF(Itens_B!$D15="mitigacao",IF(Entradas_B!T15="Sim",-Itens_B!$C15,Itens_B!$C15),IF(Itens_B!$D15="evidencia",IF(Entradas_B!T15="Sim",-Itens_B!$C15,0),0))))</f>
        <v/>
      </c>
      <c r="T17">
        <f>IF(Entradas_B!U15="N/A",0,IF(Itens_B!$D15="risco",IF(Entradas_B!U15=Itens_B!$E15,Itens_B!$C15,0),IF(Itens_B!$D15="mitigacao",IF(Entradas_B!U15="Sim",-Itens_B!$C15,Itens_B!$C15),IF(Itens_B!$D15="evidencia",IF(Entradas_B!U15="Sim",-Itens_B!$C15,0),0))))</f>
        <v/>
      </c>
      <c r="U17">
        <f>IF(Entradas_B!V15="N/A",0,IF(Itens_B!$D15="risco",IF(Entradas_B!V15=Itens_B!$E15,Itens_B!$C15,0),IF(Itens_B!$D15="mitigacao",IF(Entradas_B!V15="Sim",-Itens_B!$C15,Itens_B!$C15),IF(Itens_B!$D15="evidencia",IF(Entradas_B!V15="Sim",-Itens_B!$C15,0),0))))</f>
        <v/>
      </c>
      <c r="V17">
        <f>IF(Entradas_B!W15="N/A",0,IF(Itens_B!$D15="risco",IF(Entradas_B!W15=Itens_B!$E15,Itens_B!$C15,0),IF(Itens_B!$D15="mitigacao",IF(Entradas_B!W15="Sim",-Itens_B!$C15,Itens_B!$C15),IF(Itens_B!$D15="evidencia",IF(Entradas_B!W15="Sim",-Itens_B!$C15,0),0))))</f>
        <v/>
      </c>
      <c r="W17">
        <f>IF(Entradas_B!X15="N/A",0,IF(Itens_B!$D15="risco",IF(Entradas_B!X15=Itens_B!$E15,Itens_B!$C15,0),IF(Itens_B!$D15="mitigacao",IF(Entradas_B!X15="Sim",-Itens_B!$C15,Itens_B!$C15),IF(Itens_B!$D15="evidencia",IF(Entradas_B!X15="Sim",-Itens_B!$C15,0),0))))</f>
        <v/>
      </c>
      <c r="X17">
        <f>IF(Entradas_B!Y15="N/A",0,IF(Itens_B!$D15="risco",IF(Entradas_B!Y15=Itens_B!$E15,Itens_B!$C15,0),IF(Itens_B!$D15="mitigacao",IF(Entradas_B!Y15="Sim",-Itens_B!$C15,Itens_B!$C15),IF(Itens_B!$D15="evidencia",IF(Entradas_B!Y15="Sim",-Itens_B!$C15,0),0))))</f>
        <v/>
      </c>
      <c r="Y17">
        <f>IF(Entradas_B!Z15="N/A",0,IF(Itens_B!$D15="risco",IF(Entradas_B!Z15=Itens_B!$E15,Itens_B!$C15,0),IF(Itens_B!$D15="mitigacao",IF(Entradas_B!Z15="Sim",-Itens_B!$C15,Itens_B!$C15),IF(Itens_B!$D15="evidencia",IF(Entradas_B!Z15="Sim",-Itens_B!$C15,0),0))))</f>
        <v/>
      </c>
      <c r="Z17">
        <f>IF(Entradas_B!AA15="N/A",0,IF(Itens_B!$D15="risco",IF(Entradas_B!AA15=Itens_B!$E15,Itens_B!$C15,0),IF(Itens_B!$D15="mitigacao",IF(Entradas_B!AA15="Sim",-Itens_B!$C15,Itens_B!$C15),IF(Itens_B!$D15="evidencia",IF(Entradas_B!AA15="Sim",-Itens_B!$C15,0),0))))</f>
        <v/>
      </c>
      <c r="AA17">
        <f>IF(Entradas_B!AB15="N/A",0,IF(Itens_B!$D15="risco",IF(Entradas_B!AB15=Itens_B!$E15,Itens_B!$C15,0),IF(Itens_B!$D15="mitigacao",IF(Entradas_B!AB15="Sim",-Itens_B!$C15,Itens_B!$C15),IF(Itens_B!$D15="evidencia",IF(Entradas_B!AB15="Sim",-Itens_B!$C15,0),0))))</f>
        <v/>
      </c>
      <c r="AB17">
        <f>IF(Entradas_B!AC15="N/A",0,IF(Itens_B!$D15="risco",IF(Entradas_B!AC15=Itens_B!$E15,Itens_B!$C15,0),IF(Itens_B!$D15="mitigacao",IF(Entradas_B!AC15="Sim",-Itens_B!$C15,Itens_B!$C15),IF(Itens_B!$D15="evidencia",IF(Entradas_B!AC15="Sim",-Itens_B!$C15,0),0))))</f>
        <v/>
      </c>
      <c r="AC17">
        <f>IF(Entradas_B!AD15="N/A",0,IF(Itens_B!$D15="risco",IF(Entradas_B!AD15=Itens_B!$E15,Itens_B!$C15,0),IF(Itens_B!$D15="mitigacao",IF(Entradas_B!AD15="Sim",-Itens_B!$C15,Itens_B!$C15),IF(Itens_B!$D15="evidencia",IF(Entradas_B!AD15="Sim",-Itens_B!$C15,0),0))))</f>
        <v/>
      </c>
      <c r="AD17">
        <f>IF(Entradas_B!AE15="N/A",0,IF(Itens_B!$D15="risco",IF(Entradas_B!AE15=Itens_B!$E15,Itens_B!$C15,0),IF(Itens_B!$D15="mitigacao",IF(Entradas_B!AE15="Sim",-Itens_B!$C15,Itens_B!$C15),IF(Itens_B!$D15="evidencia",IF(Entradas_B!AE15="Sim",-Itens_B!$C15,0),0))))</f>
        <v/>
      </c>
      <c r="AE17">
        <f>IF(Entradas_B!AF15="N/A",0,IF(Itens_B!$D15="risco",IF(Entradas_B!AF15=Itens_B!$E15,Itens_B!$C15,0),IF(Itens_B!$D15="mitigacao",IF(Entradas_B!AF15="Sim",-Itens_B!$C15,Itens_B!$C15),IF(Itens_B!$D15="evidencia",IF(Entradas_B!AF15="Sim",-Itens_B!$C15,0),0))))</f>
        <v/>
      </c>
      <c r="AF17">
        <f>IF(Entradas_B!AG15="N/A",0,IF(Itens_B!$D15="risco",IF(Entradas_B!AG15=Itens_B!$E15,Itens_B!$C15,0),IF(Itens_B!$D15="mitigacao",IF(Entradas_B!AG15="Sim",-Itens_B!$C15,Itens_B!$C15),IF(Itens_B!$D15="evidencia",IF(Entradas_B!AG15="Sim",-Itens_B!$C15,0),0))))</f>
        <v/>
      </c>
    </row>
    <row r="18">
      <c r="A18" t="inlineStr">
        <is>
          <t>P2.8</t>
        </is>
      </c>
      <c r="B18">
        <f>IF(Entradas_B!C16="N/A",0,IF(Itens_B!$D16="risco",IF(Entradas_B!C16=Itens_B!$E16,Itens_B!$C16,0),IF(Itens_B!$D16="mitigacao",IF(Entradas_B!C16="Sim",-Itens_B!$C16,Itens_B!$C16),IF(Itens_B!$D16="evidencia",IF(Entradas_B!C16="Sim",-Itens_B!$C16,0),0))))</f>
        <v/>
      </c>
      <c r="C18">
        <f>IF(Entradas_B!D16="N/A",0,IF(Itens_B!$D16="risco",IF(Entradas_B!D16=Itens_B!$E16,Itens_B!$C16,0),IF(Itens_B!$D16="mitigacao",IF(Entradas_B!D16="Sim",-Itens_B!$C16,Itens_B!$C16),IF(Itens_B!$D16="evidencia",IF(Entradas_B!D16="Sim",-Itens_B!$C16,0),0))))</f>
        <v/>
      </c>
      <c r="D18">
        <f>IF(Entradas_B!E16="N/A",0,IF(Itens_B!$D16="risco",IF(Entradas_B!E16=Itens_B!$E16,Itens_B!$C16,0),IF(Itens_B!$D16="mitigacao",IF(Entradas_B!E16="Sim",-Itens_B!$C16,Itens_B!$C16),IF(Itens_B!$D16="evidencia",IF(Entradas_B!E16="Sim",-Itens_B!$C16,0),0))))</f>
        <v/>
      </c>
      <c r="E18">
        <f>IF(Entradas_B!F16="N/A",0,IF(Itens_B!$D16="risco",IF(Entradas_B!F16=Itens_B!$E16,Itens_B!$C16,0),IF(Itens_B!$D16="mitigacao",IF(Entradas_B!F16="Sim",-Itens_B!$C16,Itens_B!$C16),IF(Itens_B!$D16="evidencia",IF(Entradas_B!F16="Sim",-Itens_B!$C16,0),0))))</f>
        <v/>
      </c>
      <c r="F18">
        <f>IF(Entradas_B!G16="N/A",0,IF(Itens_B!$D16="risco",IF(Entradas_B!G16=Itens_B!$E16,Itens_B!$C16,0),IF(Itens_B!$D16="mitigacao",IF(Entradas_B!G16="Sim",-Itens_B!$C16,Itens_B!$C16),IF(Itens_B!$D16="evidencia",IF(Entradas_B!G16="Sim",-Itens_B!$C16,0),0))))</f>
        <v/>
      </c>
      <c r="G18">
        <f>IF(Entradas_B!H16="N/A",0,IF(Itens_B!$D16="risco",IF(Entradas_B!H16=Itens_B!$E16,Itens_B!$C16,0),IF(Itens_B!$D16="mitigacao",IF(Entradas_B!H16="Sim",-Itens_B!$C16,Itens_B!$C16),IF(Itens_B!$D16="evidencia",IF(Entradas_B!H16="Sim",-Itens_B!$C16,0),0))))</f>
        <v/>
      </c>
      <c r="H18">
        <f>IF(Entradas_B!I16="N/A",0,IF(Itens_B!$D16="risco",IF(Entradas_B!I16=Itens_B!$E16,Itens_B!$C16,0),IF(Itens_B!$D16="mitigacao",IF(Entradas_B!I16="Sim",-Itens_B!$C16,Itens_B!$C16),IF(Itens_B!$D16="evidencia",IF(Entradas_B!I16="Sim",-Itens_B!$C16,0),0))))</f>
        <v/>
      </c>
      <c r="I18">
        <f>IF(Entradas_B!J16="N/A",0,IF(Itens_B!$D16="risco",IF(Entradas_B!J16=Itens_B!$E16,Itens_B!$C16,0),IF(Itens_B!$D16="mitigacao",IF(Entradas_B!J16="Sim",-Itens_B!$C16,Itens_B!$C16),IF(Itens_B!$D16="evidencia",IF(Entradas_B!J16="Sim",-Itens_B!$C16,0),0))))</f>
        <v/>
      </c>
      <c r="J18">
        <f>IF(Entradas_B!K16="N/A",0,IF(Itens_B!$D16="risco",IF(Entradas_B!K16=Itens_B!$E16,Itens_B!$C16,0),IF(Itens_B!$D16="mitigacao",IF(Entradas_B!K16="Sim",-Itens_B!$C16,Itens_B!$C16),IF(Itens_B!$D16="evidencia",IF(Entradas_B!K16="Sim",-Itens_B!$C16,0),0))))</f>
        <v/>
      </c>
      <c r="K18">
        <f>IF(Entradas_B!L16="N/A",0,IF(Itens_B!$D16="risco",IF(Entradas_B!L16=Itens_B!$E16,Itens_B!$C16,0),IF(Itens_B!$D16="mitigacao",IF(Entradas_B!L16="Sim",-Itens_B!$C16,Itens_B!$C16),IF(Itens_B!$D16="evidencia",IF(Entradas_B!L16="Sim",-Itens_B!$C16,0),0))))</f>
        <v/>
      </c>
      <c r="L18">
        <f>IF(Entradas_B!M16="N/A",0,IF(Itens_B!$D16="risco",IF(Entradas_B!M16=Itens_B!$E16,Itens_B!$C16,0),IF(Itens_B!$D16="mitigacao",IF(Entradas_B!M16="Sim",-Itens_B!$C16,Itens_B!$C16),IF(Itens_B!$D16="evidencia",IF(Entradas_B!M16="Sim",-Itens_B!$C16,0),0))))</f>
        <v/>
      </c>
      <c r="M18">
        <f>IF(Entradas_B!N16="N/A",0,IF(Itens_B!$D16="risco",IF(Entradas_B!N16=Itens_B!$E16,Itens_B!$C16,0),IF(Itens_B!$D16="mitigacao",IF(Entradas_B!N16="Sim",-Itens_B!$C16,Itens_B!$C16),IF(Itens_B!$D16="evidencia",IF(Entradas_B!N16="Sim",-Itens_B!$C16,0),0))))</f>
        <v/>
      </c>
      <c r="N18">
        <f>IF(Entradas_B!O16="N/A",0,IF(Itens_B!$D16="risco",IF(Entradas_B!O16=Itens_B!$E16,Itens_B!$C16,0),IF(Itens_B!$D16="mitigacao",IF(Entradas_B!O16="Sim",-Itens_B!$C16,Itens_B!$C16),IF(Itens_B!$D16="evidencia",IF(Entradas_B!O16="Sim",-Itens_B!$C16,0),0))))</f>
        <v/>
      </c>
      <c r="O18">
        <f>IF(Entradas_B!P16="N/A",0,IF(Itens_B!$D16="risco",IF(Entradas_B!P16=Itens_B!$E16,Itens_B!$C16,0),IF(Itens_B!$D16="mitigacao",IF(Entradas_B!P16="Sim",-Itens_B!$C16,Itens_B!$C16),IF(Itens_B!$D16="evidencia",IF(Entradas_B!P16="Sim",-Itens_B!$C16,0),0))))</f>
        <v/>
      </c>
      <c r="P18">
        <f>IF(Entradas_B!Q16="N/A",0,IF(Itens_B!$D16="risco",IF(Entradas_B!Q16=Itens_B!$E16,Itens_B!$C16,0),IF(Itens_B!$D16="mitigacao",IF(Entradas_B!Q16="Sim",-Itens_B!$C16,Itens_B!$C16),IF(Itens_B!$D16="evidencia",IF(Entradas_B!Q16="Sim",-Itens_B!$C16,0),0))))</f>
        <v/>
      </c>
      <c r="Q18">
        <f>IF(Entradas_B!R16="N/A",0,IF(Itens_B!$D16="risco",IF(Entradas_B!R16=Itens_B!$E16,Itens_B!$C16,0),IF(Itens_B!$D16="mitigacao",IF(Entradas_B!R16="Sim",-Itens_B!$C16,Itens_B!$C16),IF(Itens_B!$D16="evidencia",IF(Entradas_B!R16="Sim",-Itens_B!$C16,0),0))))</f>
        <v/>
      </c>
      <c r="R18">
        <f>IF(Entradas_B!S16="N/A",0,IF(Itens_B!$D16="risco",IF(Entradas_B!S16=Itens_B!$E16,Itens_B!$C16,0),IF(Itens_B!$D16="mitigacao",IF(Entradas_B!S16="Sim",-Itens_B!$C16,Itens_B!$C16),IF(Itens_B!$D16="evidencia",IF(Entradas_B!S16="Sim",-Itens_B!$C16,0),0))))</f>
        <v/>
      </c>
      <c r="S18">
        <f>IF(Entradas_B!T16="N/A",0,IF(Itens_B!$D16="risco",IF(Entradas_B!T16=Itens_B!$E16,Itens_B!$C16,0),IF(Itens_B!$D16="mitigacao",IF(Entradas_B!T16="Sim",-Itens_B!$C16,Itens_B!$C16),IF(Itens_B!$D16="evidencia",IF(Entradas_B!T16="Sim",-Itens_B!$C16,0),0))))</f>
        <v/>
      </c>
      <c r="T18">
        <f>IF(Entradas_B!U16="N/A",0,IF(Itens_B!$D16="risco",IF(Entradas_B!U16=Itens_B!$E16,Itens_B!$C16,0),IF(Itens_B!$D16="mitigacao",IF(Entradas_B!U16="Sim",-Itens_B!$C16,Itens_B!$C16),IF(Itens_B!$D16="evidencia",IF(Entradas_B!U16="Sim",-Itens_B!$C16,0),0))))</f>
        <v/>
      </c>
      <c r="U18">
        <f>IF(Entradas_B!V16="N/A",0,IF(Itens_B!$D16="risco",IF(Entradas_B!V16=Itens_B!$E16,Itens_B!$C16,0),IF(Itens_B!$D16="mitigacao",IF(Entradas_B!V16="Sim",-Itens_B!$C16,Itens_B!$C16),IF(Itens_B!$D16="evidencia",IF(Entradas_B!V16="Sim",-Itens_B!$C16,0),0))))</f>
        <v/>
      </c>
      <c r="V18">
        <f>IF(Entradas_B!W16="N/A",0,IF(Itens_B!$D16="risco",IF(Entradas_B!W16=Itens_B!$E16,Itens_B!$C16,0),IF(Itens_B!$D16="mitigacao",IF(Entradas_B!W16="Sim",-Itens_B!$C16,Itens_B!$C16),IF(Itens_B!$D16="evidencia",IF(Entradas_B!W16="Sim",-Itens_B!$C16,0),0))))</f>
        <v/>
      </c>
      <c r="W18">
        <f>IF(Entradas_B!X16="N/A",0,IF(Itens_B!$D16="risco",IF(Entradas_B!X16=Itens_B!$E16,Itens_B!$C16,0),IF(Itens_B!$D16="mitigacao",IF(Entradas_B!X16="Sim",-Itens_B!$C16,Itens_B!$C16),IF(Itens_B!$D16="evidencia",IF(Entradas_B!X16="Sim",-Itens_B!$C16,0),0))))</f>
        <v/>
      </c>
      <c r="X18">
        <f>IF(Entradas_B!Y16="N/A",0,IF(Itens_B!$D16="risco",IF(Entradas_B!Y16=Itens_B!$E16,Itens_B!$C16,0),IF(Itens_B!$D16="mitigacao",IF(Entradas_B!Y16="Sim",-Itens_B!$C16,Itens_B!$C16),IF(Itens_B!$D16="evidencia",IF(Entradas_B!Y16="Sim",-Itens_B!$C16,0),0))))</f>
        <v/>
      </c>
      <c r="Y18">
        <f>IF(Entradas_B!Z16="N/A",0,IF(Itens_B!$D16="risco",IF(Entradas_B!Z16=Itens_B!$E16,Itens_B!$C16,0),IF(Itens_B!$D16="mitigacao",IF(Entradas_B!Z16="Sim",-Itens_B!$C16,Itens_B!$C16),IF(Itens_B!$D16="evidencia",IF(Entradas_B!Z16="Sim",-Itens_B!$C16,0),0))))</f>
        <v/>
      </c>
      <c r="Z18">
        <f>IF(Entradas_B!AA16="N/A",0,IF(Itens_B!$D16="risco",IF(Entradas_B!AA16=Itens_B!$E16,Itens_B!$C16,0),IF(Itens_B!$D16="mitigacao",IF(Entradas_B!AA16="Sim",-Itens_B!$C16,Itens_B!$C16),IF(Itens_B!$D16="evidencia",IF(Entradas_B!AA16="Sim",-Itens_B!$C16,0),0))))</f>
        <v/>
      </c>
      <c r="AA18">
        <f>IF(Entradas_B!AB16="N/A",0,IF(Itens_B!$D16="risco",IF(Entradas_B!AB16=Itens_B!$E16,Itens_B!$C16,0),IF(Itens_B!$D16="mitigacao",IF(Entradas_B!AB16="Sim",-Itens_B!$C16,Itens_B!$C16),IF(Itens_B!$D16="evidencia",IF(Entradas_B!AB16="Sim",-Itens_B!$C16,0),0))))</f>
        <v/>
      </c>
      <c r="AB18">
        <f>IF(Entradas_B!AC16="N/A",0,IF(Itens_B!$D16="risco",IF(Entradas_B!AC16=Itens_B!$E16,Itens_B!$C16,0),IF(Itens_B!$D16="mitigacao",IF(Entradas_B!AC16="Sim",-Itens_B!$C16,Itens_B!$C16),IF(Itens_B!$D16="evidencia",IF(Entradas_B!AC16="Sim",-Itens_B!$C16,0),0))))</f>
        <v/>
      </c>
      <c r="AC18">
        <f>IF(Entradas_B!AD16="N/A",0,IF(Itens_B!$D16="risco",IF(Entradas_B!AD16=Itens_B!$E16,Itens_B!$C16,0),IF(Itens_B!$D16="mitigacao",IF(Entradas_B!AD16="Sim",-Itens_B!$C16,Itens_B!$C16),IF(Itens_B!$D16="evidencia",IF(Entradas_B!AD16="Sim",-Itens_B!$C16,0),0))))</f>
        <v/>
      </c>
      <c r="AD18">
        <f>IF(Entradas_B!AE16="N/A",0,IF(Itens_B!$D16="risco",IF(Entradas_B!AE16=Itens_B!$E16,Itens_B!$C16,0),IF(Itens_B!$D16="mitigacao",IF(Entradas_B!AE16="Sim",-Itens_B!$C16,Itens_B!$C16),IF(Itens_B!$D16="evidencia",IF(Entradas_B!AE16="Sim",-Itens_B!$C16,0),0))))</f>
        <v/>
      </c>
      <c r="AE18">
        <f>IF(Entradas_B!AF16="N/A",0,IF(Itens_B!$D16="risco",IF(Entradas_B!AF16=Itens_B!$E16,Itens_B!$C16,0),IF(Itens_B!$D16="mitigacao",IF(Entradas_B!AF16="Sim",-Itens_B!$C16,Itens_B!$C16),IF(Itens_B!$D16="evidencia",IF(Entradas_B!AF16="Sim",-Itens_B!$C16,0),0))))</f>
        <v/>
      </c>
      <c r="AF18">
        <f>IF(Entradas_B!AG16="N/A",0,IF(Itens_B!$D16="risco",IF(Entradas_B!AG16=Itens_B!$E16,Itens_B!$C16,0),IF(Itens_B!$D16="mitigacao",IF(Entradas_B!AG16="Sim",-Itens_B!$C16,Itens_B!$C16),IF(Itens_B!$D16="evidencia",IF(Entradas_B!AG16="Sim",-Itens_B!$C16,0),0))))</f>
        <v/>
      </c>
    </row>
    <row r="19">
      <c r="A19" t="inlineStr">
        <is>
          <t>P3.1</t>
        </is>
      </c>
      <c r="B19">
        <f>IF(Entradas_B!C17="N/A",0,IF(Itens_B!$D17="risco",IF(Entradas_B!C17=Itens_B!$E17,Itens_B!$C17,0),IF(Itens_B!$D17="mitigacao",IF(Entradas_B!C17="Sim",-Itens_B!$C17,Itens_B!$C17),IF(Itens_B!$D17="evidencia",IF(Entradas_B!C17="Sim",-Itens_B!$C17,0),0))))</f>
        <v/>
      </c>
      <c r="C19">
        <f>IF(Entradas_B!D17="N/A",0,IF(Itens_B!$D17="risco",IF(Entradas_B!D17=Itens_B!$E17,Itens_B!$C17,0),IF(Itens_B!$D17="mitigacao",IF(Entradas_B!D17="Sim",-Itens_B!$C17,Itens_B!$C17),IF(Itens_B!$D17="evidencia",IF(Entradas_B!D17="Sim",-Itens_B!$C17,0),0))))</f>
        <v/>
      </c>
      <c r="D19">
        <f>IF(Entradas_B!E17="N/A",0,IF(Itens_B!$D17="risco",IF(Entradas_B!E17=Itens_B!$E17,Itens_B!$C17,0),IF(Itens_B!$D17="mitigacao",IF(Entradas_B!E17="Sim",-Itens_B!$C17,Itens_B!$C17),IF(Itens_B!$D17="evidencia",IF(Entradas_B!E17="Sim",-Itens_B!$C17,0),0))))</f>
        <v/>
      </c>
      <c r="E19">
        <f>IF(Entradas_B!F17="N/A",0,IF(Itens_B!$D17="risco",IF(Entradas_B!F17=Itens_B!$E17,Itens_B!$C17,0),IF(Itens_B!$D17="mitigacao",IF(Entradas_B!F17="Sim",-Itens_B!$C17,Itens_B!$C17),IF(Itens_B!$D17="evidencia",IF(Entradas_B!F17="Sim",-Itens_B!$C17,0),0))))</f>
        <v/>
      </c>
      <c r="F19">
        <f>IF(Entradas_B!G17="N/A",0,IF(Itens_B!$D17="risco",IF(Entradas_B!G17=Itens_B!$E17,Itens_B!$C17,0),IF(Itens_B!$D17="mitigacao",IF(Entradas_B!G17="Sim",-Itens_B!$C17,Itens_B!$C17),IF(Itens_B!$D17="evidencia",IF(Entradas_B!G17="Sim",-Itens_B!$C17,0),0))))</f>
        <v/>
      </c>
      <c r="G19">
        <f>IF(Entradas_B!H17="N/A",0,IF(Itens_B!$D17="risco",IF(Entradas_B!H17=Itens_B!$E17,Itens_B!$C17,0),IF(Itens_B!$D17="mitigacao",IF(Entradas_B!H17="Sim",-Itens_B!$C17,Itens_B!$C17),IF(Itens_B!$D17="evidencia",IF(Entradas_B!H17="Sim",-Itens_B!$C17,0),0))))</f>
        <v/>
      </c>
      <c r="H19">
        <f>IF(Entradas_B!I17="N/A",0,IF(Itens_B!$D17="risco",IF(Entradas_B!I17=Itens_B!$E17,Itens_B!$C17,0),IF(Itens_B!$D17="mitigacao",IF(Entradas_B!I17="Sim",-Itens_B!$C17,Itens_B!$C17),IF(Itens_B!$D17="evidencia",IF(Entradas_B!I17="Sim",-Itens_B!$C17,0),0))))</f>
        <v/>
      </c>
      <c r="I19">
        <f>IF(Entradas_B!J17="N/A",0,IF(Itens_B!$D17="risco",IF(Entradas_B!J17=Itens_B!$E17,Itens_B!$C17,0),IF(Itens_B!$D17="mitigacao",IF(Entradas_B!J17="Sim",-Itens_B!$C17,Itens_B!$C17),IF(Itens_B!$D17="evidencia",IF(Entradas_B!J17="Sim",-Itens_B!$C17,0),0))))</f>
        <v/>
      </c>
      <c r="J19">
        <f>IF(Entradas_B!K17="N/A",0,IF(Itens_B!$D17="risco",IF(Entradas_B!K17=Itens_B!$E17,Itens_B!$C17,0),IF(Itens_B!$D17="mitigacao",IF(Entradas_B!K17="Sim",-Itens_B!$C17,Itens_B!$C17),IF(Itens_B!$D17="evidencia",IF(Entradas_B!K17="Sim",-Itens_B!$C17,0),0))))</f>
        <v/>
      </c>
      <c r="K19">
        <f>IF(Entradas_B!L17="N/A",0,IF(Itens_B!$D17="risco",IF(Entradas_B!L17=Itens_B!$E17,Itens_B!$C17,0),IF(Itens_B!$D17="mitigacao",IF(Entradas_B!L17="Sim",-Itens_B!$C17,Itens_B!$C17),IF(Itens_B!$D17="evidencia",IF(Entradas_B!L17="Sim",-Itens_B!$C17,0),0))))</f>
        <v/>
      </c>
      <c r="L19">
        <f>IF(Entradas_B!M17="N/A",0,IF(Itens_B!$D17="risco",IF(Entradas_B!M17=Itens_B!$E17,Itens_B!$C17,0),IF(Itens_B!$D17="mitigacao",IF(Entradas_B!M17="Sim",-Itens_B!$C17,Itens_B!$C17),IF(Itens_B!$D17="evidencia",IF(Entradas_B!M17="Sim",-Itens_B!$C17,0),0))))</f>
        <v/>
      </c>
      <c r="M19">
        <f>IF(Entradas_B!N17="N/A",0,IF(Itens_B!$D17="risco",IF(Entradas_B!N17=Itens_B!$E17,Itens_B!$C17,0),IF(Itens_B!$D17="mitigacao",IF(Entradas_B!N17="Sim",-Itens_B!$C17,Itens_B!$C17),IF(Itens_B!$D17="evidencia",IF(Entradas_B!N17="Sim",-Itens_B!$C17,0),0))))</f>
        <v/>
      </c>
      <c r="N19">
        <f>IF(Entradas_B!O17="N/A",0,IF(Itens_B!$D17="risco",IF(Entradas_B!O17=Itens_B!$E17,Itens_B!$C17,0),IF(Itens_B!$D17="mitigacao",IF(Entradas_B!O17="Sim",-Itens_B!$C17,Itens_B!$C17),IF(Itens_B!$D17="evidencia",IF(Entradas_B!O17="Sim",-Itens_B!$C17,0),0))))</f>
        <v/>
      </c>
      <c r="O19">
        <f>IF(Entradas_B!P17="N/A",0,IF(Itens_B!$D17="risco",IF(Entradas_B!P17=Itens_B!$E17,Itens_B!$C17,0),IF(Itens_B!$D17="mitigacao",IF(Entradas_B!P17="Sim",-Itens_B!$C17,Itens_B!$C17),IF(Itens_B!$D17="evidencia",IF(Entradas_B!P17="Sim",-Itens_B!$C17,0),0))))</f>
        <v/>
      </c>
      <c r="P19">
        <f>IF(Entradas_B!Q17="N/A",0,IF(Itens_B!$D17="risco",IF(Entradas_B!Q17=Itens_B!$E17,Itens_B!$C17,0),IF(Itens_B!$D17="mitigacao",IF(Entradas_B!Q17="Sim",-Itens_B!$C17,Itens_B!$C17),IF(Itens_B!$D17="evidencia",IF(Entradas_B!Q17="Sim",-Itens_B!$C17,0),0))))</f>
        <v/>
      </c>
      <c r="Q19">
        <f>IF(Entradas_B!R17="N/A",0,IF(Itens_B!$D17="risco",IF(Entradas_B!R17=Itens_B!$E17,Itens_B!$C17,0),IF(Itens_B!$D17="mitigacao",IF(Entradas_B!R17="Sim",-Itens_B!$C17,Itens_B!$C17),IF(Itens_B!$D17="evidencia",IF(Entradas_B!R17="Sim",-Itens_B!$C17,0),0))))</f>
        <v/>
      </c>
      <c r="R19">
        <f>IF(Entradas_B!S17="N/A",0,IF(Itens_B!$D17="risco",IF(Entradas_B!S17=Itens_B!$E17,Itens_B!$C17,0),IF(Itens_B!$D17="mitigacao",IF(Entradas_B!S17="Sim",-Itens_B!$C17,Itens_B!$C17),IF(Itens_B!$D17="evidencia",IF(Entradas_B!S17="Sim",-Itens_B!$C17,0),0))))</f>
        <v/>
      </c>
      <c r="S19">
        <f>IF(Entradas_B!T17="N/A",0,IF(Itens_B!$D17="risco",IF(Entradas_B!T17=Itens_B!$E17,Itens_B!$C17,0),IF(Itens_B!$D17="mitigacao",IF(Entradas_B!T17="Sim",-Itens_B!$C17,Itens_B!$C17),IF(Itens_B!$D17="evidencia",IF(Entradas_B!T17="Sim",-Itens_B!$C17,0),0))))</f>
        <v/>
      </c>
      <c r="T19">
        <f>IF(Entradas_B!U17="N/A",0,IF(Itens_B!$D17="risco",IF(Entradas_B!U17=Itens_B!$E17,Itens_B!$C17,0),IF(Itens_B!$D17="mitigacao",IF(Entradas_B!U17="Sim",-Itens_B!$C17,Itens_B!$C17),IF(Itens_B!$D17="evidencia",IF(Entradas_B!U17="Sim",-Itens_B!$C17,0),0))))</f>
        <v/>
      </c>
      <c r="U19">
        <f>IF(Entradas_B!V17="N/A",0,IF(Itens_B!$D17="risco",IF(Entradas_B!V17=Itens_B!$E17,Itens_B!$C17,0),IF(Itens_B!$D17="mitigacao",IF(Entradas_B!V17="Sim",-Itens_B!$C17,Itens_B!$C17),IF(Itens_B!$D17="evidencia",IF(Entradas_B!V17="Sim",-Itens_B!$C17,0),0))))</f>
        <v/>
      </c>
      <c r="V19">
        <f>IF(Entradas_B!W17="N/A",0,IF(Itens_B!$D17="risco",IF(Entradas_B!W17=Itens_B!$E17,Itens_B!$C17,0),IF(Itens_B!$D17="mitigacao",IF(Entradas_B!W17="Sim",-Itens_B!$C17,Itens_B!$C17),IF(Itens_B!$D17="evidencia",IF(Entradas_B!W17="Sim",-Itens_B!$C17,0),0))))</f>
        <v/>
      </c>
      <c r="W19">
        <f>IF(Entradas_B!X17="N/A",0,IF(Itens_B!$D17="risco",IF(Entradas_B!X17=Itens_B!$E17,Itens_B!$C17,0),IF(Itens_B!$D17="mitigacao",IF(Entradas_B!X17="Sim",-Itens_B!$C17,Itens_B!$C17),IF(Itens_B!$D17="evidencia",IF(Entradas_B!X17="Sim",-Itens_B!$C17,0),0))))</f>
        <v/>
      </c>
      <c r="X19">
        <f>IF(Entradas_B!Y17="N/A",0,IF(Itens_B!$D17="risco",IF(Entradas_B!Y17=Itens_B!$E17,Itens_B!$C17,0),IF(Itens_B!$D17="mitigacao",IF(Entradas_B!Y17="Sim",-Itens_B!$C17,Itens_B!$C17),IF(Itens_B!$D17="evidencia",IF(Entradas_B!Y17="Sim",-Itens_B!$C17,0),0))))</f>
        <v/>
      </c>
      <c r="Y19">
        <f>IF(Entradas_B!Z17="N/A",0,IF(Itens_B!$D17="risco",IF(Entradas_B!Z17=Itens_B!$E17,Itens_B!$C17,0),IF(Itens_B!$D17="mitigacao",IF(Entradas_B!Z17="Sim",-Itens_B!$C17,Itens_B!$C17),IF(Itens_B!$D17="evidencia",IF(Entradas_B!Z17="Sim",-Itens_B!$C17,0),0))))</f>
        <v/>
      </c>
      <c r="Z19">
        <f>IF(Entradas_B!AA17="N/A",0,IF(Itens_B!$D17="risco",IF(Entradas_B!AA17=Itens_B!$E17,Itens_B!$C17,0),IF(Itens_B!$D17="mitigacao",IF(Entradas_B!AA17="Sim",-Itens_B!$C17,Itens_B!$C17),IF(Itens_B!$D17="evidencia",IF(Entradas_B!AA17="Sim",-Itens_B!$C17,0),0))))</f>
        <v/>
      </c>
      <c r="AA19">
        <f>IF(Entradas_B!AB17="N/A",0,IF(Itens_B!$D17="risco",IF(Entradas_B!AB17=Itens_B!$E17,Itens_B!$C17,0),IF(Itens_B!$D17="mitigacao",IF(Entradas_B!AB17="Sim",-Itens_B!$C17,Itens_B!$C17),IF(Itens_B!$D17="evidencia",IF(Entradas_B!AB17="Sim",-Itens_B!$C17,0),0))))</f>
        <v/>
      </c>
      <c r="AB19">
        <f>IF(Entradas_B!AC17="N/A",0,IF(Itens_B!$D17="risco",IF(Entradas_B!AC17=Itens_B!$E17,Itens_B!$C17,0),IF(Itens_B!$D17="mitigacao",IF(Entradas_B!AC17="Sim",-Itens_B!$C17,Itens_B!$C17),IF(Itens_B!$D17="evidencia",IF(Entradas_B!AC17="Sim",-Itens_B!$C17,0),0))))</f>
        <v/>
      </c>
      <c r="AC19">
        <f>IF(Entradas_B!AD17="N/A",0,IF(Itens_B!$D17="risco",IF(Entradas_B!AD17=Itens_B!$E17,Itens_B!$C17,0),IF(Itens_B!$D17="mitigacao",IF(Entradas_B!AD17="Sim",-Itens_B!$C17,Itens_B!$C17),IF(Itens_B!$D17="evidencia",IF(Entradas_B!AD17="Sim",-Itens_B!$C17,0),0))))</f>
        <v/>
      </c>
      <c r="AD19">
        <f>IF(Entradas_B!AE17="N/A",0,IF(Itens_B!$D17="risco",IF(Entradas_B!AE17=Itens_B!$E17,Itens_B!$C17,0),IF(Itens_B!$D17="mitigacao",IF(Entradas_B!AE17="Sim",-Itens_B!$C17,Itens_B!$C17),IF(Itens_B!$D17="evidencia",IF(Entradas_B!AE17="Sim",-Itens_B!$C17,0),0))))</f>
        <v/>
      </c>
      <c r="AE19">
        <f>IF(Entradas_B!AF17="N/A",0,IF(Itens_B!$D17="risco",IF(Entradas_B!AF17=Itens_B!$E17,Itens_B!$C17,0),IF(Itens_B!$D17="mitigacao",IF(Entradas_B!AF17="Sim",-Itens_B!$C17,Itens_B!$C17),IF(Itens_B!$D17="evidencia",IF(Entradas_B!AF17="Sim",-Itens_B!$C17,0),0))))</f>
        <v/>
      </c>
      <c r="AF19">
        <f>IF(Entradas_B!AG17="N/A",0,IF(Itens_B!$D17="risco",IF(Entradas_B!AG17=Itens_B!$E17,Itens_B!$C17,0),IF(Itens_B!$D17="mitigacao",IF(Entradas_B!AG17="Sim",-Itens_B!$C17,Itens_B!$C17),IF(Itens_B!$D17="evidencia",IF(Entradas_B!AG17="Sim",-Itens_B!$C17,0),0))))</f>
        <v/>
      </c>
    </row>
    <row r="20">
      <c r="A20" t="inlineStr">
        <is>
          <t>P3.2</t>
        </is>
      </c>
      <c r="B20">
        <f>IF(Entradas_B!C18="N/A",0,IF(Itens_B!$D18="risco",IF(Entradas_B!C18=Itens_B!$E18,Itens_B!$C18,0),IF(Itens_B!$D18="mitigacao",IF(Entradas_B!C18="Sim",-Itens_B!$C18,Itens_B!$C18),IF(Itens_B!$D18="evidencia",IF(Entradas_B!C18="Sim",-Itens_B!$C18,0),0))))</f>
        <v/>
      </c>
      <c r="C20">
        <f>IF(Entradas_B!D18="N/A",0,IF(Itens_B!$D18="risco",IF(Entradas_B!D18=Itens_B!$E18,Itens_B!$C18,0),IF(Itens_B!$D18="mitigacao",IF(Entradas_B!D18="Sim",-Itens_B!$C18,Itens_B!$C18),IF(Itens_B!$D18="evidencia",IF(Entradas_B!D18="Sim",-Itens_B!$C18,0),0))))</f>
        <v/>
      </c>
      <c r="D20">
        <f>IF(Entradas_B!E18="N/A",0,IF(Itens_B!$D18="risco",IF(Entradas_B!E18=Itens_B!$E18,Itens_B!$C18,0),IF(Itens_B!$D18="mitigacao",IF(Entradas_B!E18="Sim",-Itens_B!$C18,Itens_B!$C18),IF(Itens_B!$D18="evidencia",IF(Entradas_B!E18="Sim",-Itens_B!$C18,0),0))))</f>
        <v/>
      </c>
      <c r="E20">
        <f>IF(Entradas_B!F18="N/A",0,IF(Itens_B!$D18="risco",IF(Entradas_B!F18=Itens_B!$E18,Itens_B!$C18,0),IF(Itens_B!$D18="mitigacao",IF(Entradas_B!F18="Sim",-Itens_B!$C18,Itens_B!$C18),IF(Itens_B!$D18="evidencia",IF(Entradas_B!F18="Sim",-Itens_B!$C18,0),0))))</f>
        <v/>
      </c>
      <c r="F20">
        <f>IF(Entradas_B!G18="N/A",0,IF(Itens_B!$D18="risco",IF(Entradas_B!G18=Itens_B!$E18,Itens_B!$C18,0),IF(Itens_B!$D18="mitigacao",IF(Entradas_B!G18="Sim",-Itens_B!$C18,Itens_B!$C18),IF(Itens_B!$D18="evidencia",IF(Entradas_B!G18="Sim",-Itens_B!$C18,0),0))))</f>
        <v/>
      </c>
      <c r="G20">
        <f>IF(Entradas_B!H18="N/A",0,IF(Itens_B!$D18="risco",IF(Entradas_B!H18=Itens_B!$E18,Itens_B!$C18,0),IF(Itens_B!$D18="mitigacao",IF(Entradas_B!H18="Sim",-Itens_B!$C18,Itens_B!$C18),IF(Itens_B!$D18="evidencia",IF(Entradas_B!H18="Sim",-Itens_B!$C18,0),0))))</f>
        <v/>
      </c>
      <c r="H20">
        <f>IF(Entradas_B!I18="N/A",0,IF(Itens_B!$D18="risco",IF(Entradas_B!I18=Itens_B!$E18,Itens_B!$C18,0),IF(Itens_B!$D18="mitigacao",IF(Entradas_B!I18="Sim",-Itens_B!$C18,Itens_B!$C18),IF(Itens_B!$D18="evidencia",IF(Entradas_B!I18="Sim",-Itens_B!$C18,0),0))))</f>
        <v/>
      </c>
      <c r="I20">
        <f>IF(Entradas_B!J18="N/A",0,IF(Itens_B!$D18="risco",IF(Entradas_B!J18=Itens_B!$E18,Itens_B!$C18,0),IF(Itens_B!$D18="mitigacao",IF(Entradas_B!J18="Sim",-Itens_B!$C18,Itens_B!$C18),IF(Itens_B!$D18="evidencia",IF(Entradas_B!J18="Sim",-Itens_B!$C18,0),0))))</f>
        <v/>
      </c>
      <c r="J20">
        <f>IF(Entradas_B!K18="N/A",0,IF(Itens_B!$D18="risco",IF(Entradas_B!K18=Itens_B!$E18,Itens_B!$C18,0),IF(Itens_B!$D18="mitigacao",IF(Entradas_B!K18="Sim",-Itens_B!$C18,Itens_B!$C18),IF(Itens_B!$D18="evidencia",IF(Entradas_B!K18="Sim",-Itens_B!$C18,0),0))))</f>
        <v/>
      </c>
      <c r="K20">
        <f>IF(Entradas_B!L18="N/A",0,IF(Itens_B!$D18="risco",IF(Entradas_B!L18=Itens_B!$E18,Itens_B!$C18,0),IF(Itens_B!$D18="mitigacao",IF(Entradas_B!L18="Sim",-Itens_B!$C18,Itens_B!$C18),IF(Itens_B!$D18="evidencia",IF(Entradas_B!L18="Sim",-Itens_B!$C18,0),0))))</f>
        <v/>
      </c>
      <c r="L20">
        <f>IF(Entradas_B!M18="N/A",0,IF(Itens_B!$D18="risco",IF(Entradas_B!M18=Itens_B!$E18,Itens_B!$C18,0),IF(Itens_B!$D18="mitigacao",IF(Entradas_B!M18="Sim",-Itens_B!$C18,Itens_B!$C18),IF(Itens_B!$D18="evidencia",IF(Entradas_B!M18="Sim",-Itens_B!$C18,0),0))))</f>
        <v/>
      </c>
      <c r="M20">
        <f>IF(Entradas_B!N18="N/A",0,IF(Itens_B!$D18="risco",IF(Entradas_B!N18=Itens_B!$E18,Itens_B!$C18,0),IF(Itens_B!$D18="mitigacao",IF(Entradas_B!N18="Sim",-Itens_B!$C18,Itens_B!$C18),IF(Itens_B!$D18="evidencia",IF(Entradas_B!N18="Sim",-Itens_B!$C18,0),0))))</f>
        <v/>
      </c>
      <c r="N20">
        <f>IF(Entradas_B!O18="N/A",0,IF(Itens_B!$D18="risco",IF(Entradas_B!O18=Itens_B!$E18,Itens_B!$C18,0),IF(Itens_B!$D18="mitigacao",IF(Entradas_B!O18="Sim",-Itens_B!$C18,Itens_B!$C18),IF(Itens_B!$D18="evidencia",IF(Entradas_B!O18="Sim",-Itens_B!$C18,0),0))))</f>
        <v/>
      </c>
      <c r="O20">
        <f>IF(Entradas_B!P18="N/A",0,IF(Itens_B!$D18="risco",IF(Entradas_B!P18=Itens_B!$E18,Itens_B!$C18,0),IF(Itens_B!$D18="mitigacao",IF(Entradas_B!P18="Sim",-Itens_B!$C18,Itens_B!$C18),IF(Itens_B!$D18="evidencia",IF(Entradas_B!P18="Sim",-Itens_B!$C18,0),0))))</f>
        <v/>
      </c>
      <c r="P20">
        <f>IF(Entradas_B!Q18="N/A",0,IF(Itens_B!$D18="risco",IF(Entradas_B!Q18=Itens_B!$E18,Itens_B!$C18,0),IF(Itens_B!$D18="mitigacao",IF(Entradas_B!Q18="Sim",-Itens_B!$C18,Itens_B!$C18),IF(Itens_B!$D18="evidencia",IF(Entradas_B!Q18="Sim",-Itens_B!$C18,0),0))))</f>
        <v/>
      </c>
      <c r="Q20">
        <f>IF(Entradas_B!R18="N/A",0,IF(Itens_B!$D18="risco",IF(Entradas_B!R18=Itens_B!$E18,Itens_B!$C18,0),IF(Itens_B!$D18="mitigacao",IF(Entradas_B!R18="Sim",-Itens_B!$C18,Itens_B!$C18),IF(Itens_B!$D18="evidencia",IF(Entradas_B!R18="Sim",-Itens_B!$C18,0),0))))</f>
        <v/>
      </c>
      <c r="R20">
        <f>IF(Entradas_B!S18="N/A",0,IF(Itens_B!$D18="risco",IF(Entradas_B!S18=Itens_B!$E18,Itens_B!$C18,0),IF(Itens_B!$D18="mitigacao",IF(Entradas_B!S18="Sim",-Itens_B!$C18,Itens_B!$C18),IF(Itens_B!$D18="evidencia",IF(Entradas_B!S18="Sim",-Itens_B!$C18,0),0))))</f>
        <v/>
      </c>
      <c r="S20">
        <f>IF(Entradas_B!T18="N/A",0,IF(Itens_B!$D18="risco",IF(Entradas_B!T18=Itens_B!$E18,Itens_B!$C18,0),IF(Itens_B!$D18="mitigacao",IF(Entradas_B!T18="Sim",-Itens_B!$C18,Itens_B!$C18),IF(Itens_B!$D18="evidencia",IF(Entradas_B!T18="Sim",-Itens_B!$C18,0),0))))</f>
        <v/>
      </c>
      <c r="T20">
        <f>IF(Entradas_B!U18="N/A",0,IF(Itens_B!$D18="risco",IF(Entradas_B!U18=Itens_B!$E18,Itens_B!$C18,0),IF(Itens_B!$D18="mitigacao",IF(Entradas_B!U18="Sim",-Itens_B!$C18,Itens_B!$C18),IF(Itens_B!$D18="evidencia",IF(Entradas_B!U18="Sim",-Itens_B!$C18,0),0))))</f>
        <v/>
      </c>
      <c r="U20">
        <f>IF(Entradas_B!V18="N/A",0,IF(Itens_B!$D18="risco",IF(Entradas_B!V18=Itens_B!$E18,Itens_B!$C18,0),IF(Itens_B!$D18="mitigacao",IF(Entradas_B!V18="Sim",-Itens_B!$C18,Itens_B!$C18),IF(Itens_B!$D18="evidencia",IF(Entradas_B!V18="Sim",-Itens_B!$C18,0),0))))</f>
        <v/>
      </c>
      <c r="V20">
        <f>IF(Entradas_B!W18="N/A",0,IF(Itens_B!$D18="risco",IF(Entradas_B!W18=Itens_B!$E18,Itens_B!$C18,0),IF(Itens_B!$D18="mitigacao",IF(Entradas_B!W18="Sim",-Itens_B!$C18,Itens_B!$C18),IF(Itens_B!$D18="evidencia",IF(Entradas_B!W18="Sim",-Itens_B!$C18,0),0))))</f>
        <v/>
      </c>
      <c r="W20">
        <f>IF(Entradas_B!X18="N/A",0,IF(Itens_B!$D18="risco",IF(Entradas_B!X18=Itens_B!$E18,Itens_B!$C18,0),IF(Itens_B!$D18="mitigacao",IF(Entradas_B!X18="Sim",-Itens_B!$C18,Itens_B!$C18),IF(Itens_B!$D18="evidencia",IF(Entradas_B!X18="Sim",-Itens_B!$C18,0),0))))</f>
        <v/>
      </c>
      <c r="X20">
        <f>IF(Entradas_B!Y18="N/A",0,IF(Itens_B!$D18="risco",IF(Entradas_B!Y18=Itens_B!$E18,Itens_B!$C18,0),IF(Itens_B!$D18="mitigacao",IF(Entradas_B!Y18="Sim",-Itens_B!$C18,Itens_B!$C18),IF(Itens_B!$D18="evidencia",IF(Entradas_B!Y18="Sim",-Itens_B!$C18,0),0))))</f>
        <v/>
      </c>
      <c r="Y20">
        <f>IF(Entradas_B!Z18="N/A",0,IF(Itens_B!$D18="risco",IF(Entradas_B!Z18=Itens_B!$E18,Itens_B!$C18,0),IF(Itens_B!$D18="mitigacao",IF(Entradas_B!Z18="Sim",-Itens_B!$C18,Itens_B!$C18),IF(Itens_B!$D18="evidencia",IF(Entradas_B!Z18="Sim",-Itens_B!$C18,0),0))))</f>
        <v/>
      </c>
      <c r="Z20">
        <f>IF(Entradas_B!AA18="N/A",0,IF(Itens_B!$D18="risco",IF(Entradas_B!AA18=Itens_B!$E18,Itens_B!$C18,0),IF(Itens_B!$D18="mitigacao",IF(Entradas_B!AA18="Sim",-Itens_B!$C18,Itens_B!$C18),IF(Itens_B!$D18="evidencia",IF(Entradas_B!AA18="Sim",-Itens_B!$C18,0),0))))</f>
        <v/>
      </c>
      <c r="AA20">
        <f>IF(Entradas_B!AB18="N/A",0,IF(Itens_B!$D18="risco",IF(Entradas_B!AB18=Itens_B!$E18,Itens_B!$C18,0),IF(Itens_B!$D18="mitigacao",IF(Entradas_B!AB18="Sim",-Itens_B!$C18,Itens_B!$C18),IF(Itens_B!$D18="evidencia",IF(Entradas_B!AB18="Sim",-Itens_B!$C18,0),0))))</f>
        <v/>
      </c>
      <c r="AB20">
        <f>IF(Entradas_B!AC18="N/A",0,IF(Itens_B!$D18="risco",IF(Entradas_B!AC18=Itens_B!$E18,Itens_B!$C18,0),IF(Itens_B!$D18="mitigacao",IF(Entradas_B!AC18="Sim",-Itens_B!$C18,Itens_B!$C18),IF(Itens_B!$D18="evidencia",IF(Entradas_B!AC18="Sim",-Itens_B!$C18,0),0))))</f>
        <v/>
      </c>
      <c r="AC20">
        <f>IF(Entradas_B!AD18="N/A",0,IF(Itens_B!$D18="risco",IF(Entradas_B!AD18=Itens_B!$E18,Itens_B!$C18,0),IF(Itens_B!$D18="mitigacao",IF(Entradas_B!AD18="Sim",-Itens_B!$C18,Itens_B!$C18),IF(Itens_B!$D18="evidencia",IF(Entradas_B!AD18="Sim",-Itens_B!$C18,0),0))))</f>
        <v/>
      </c>
      <c r="AD20">
        <f>IF(Entradas_B!AE18="N/A",0,IF(Itens_B!$D18="risco",IF(Entradas_B!AE18=Itens_B!$E18,Itens_B!$C18,0),IF(Itens_B!$D18="mitigacao",IF(Entradas_B!AE18="Sim",-Itens_B!$C18,Itens_B!$C18),IF(Itens_B!$D18="evidencia",IF(Entradas_B!AE18="Sim",-Itens_B!$C18,0),0))))</f>
        <v/>
      </c>
      <c r="AE20">
        <f>IF(Entradas_B!AF18="N/A",0,IF(Itens_B!$D18="risco",IF(Entradas_B!AF18=Itens_B!$E18,Itens_B!$C18,0),IF(Itens_B!$D18="mitigacao",IF(Entradas_B!AF18="Sim",-Itens_B!$C18,Itens_B!$C18),IF(Itens_B!$D18="evidencia",IF(Entradas_B!AF18="Sim",-Itens_B!$C18,0),0))))</f>
        <v/>
      </c>
      <c r="AF20">
        <f>IF(Entradas_B!AG18="N/A",0,IF(Itens_B!$D18="risco",IF(Entradas_B!AG18=Itens_B!$E18,Itens_B!$C18,0),IF(Itens_B!$D18="mitigacao",IF(Entradas_B!AG18="Sim",-Itens_B!$C18,Itens_B!$C18),IF(Itens_B!$D18="evidencia",IF(Entradas_B!AG18="Sim",-Itens_B!$C18,0),0))))</f>
        <v/>
      </c>
    </row>
    <row r="21">
      <c r="A21" t="inlineStr">
        <is>
          <t>P3.3</t>
        </is>
      </c>
      <c r="B21">
        <f>IF(Entradas_B!C19="N/A",0,IF(Itens_B!$D19="risco",IF(Entradas_B!C19=Itens_B!$E19,Itens_B!$C19,0),IF(Itens_B!$D19="mitigacao",IF(Entradas_B!C19="Sim",-Itens_B!$C19,Itens_B!$C19),IF(Itens_B!$D19="evidencia",IF(Entradas_B!C19="Sim",-Itens_B!$C19,0),0))))</f>
        <v/>
      </c>
      <c r="C21">
        <f>IF(Entradas_B!D19="N/A",0,IF(Itens_B!$D19="risco",IF(Entradas_B!D19=Itens_B!$E19,Itens_B!$C19,0),IF(Itens_B!$D19="mitigacao",IF(Entradas_B!D19="Sim",-Itens_B!$C19,Itens_B!$C19),IF(Itens_B!$D19="evidencia",IF(Entradas_B!D19="Sim",-Itens_B!$C19,0),0))))</f>
        <v/>
      </c>
      <c r="D21">
        <f>IF(Entradas_B!E19="N/A",0,IF(Itens_B!$D19="risco",IF(Entradas_B!E19=Itens_B!$E19,Itens_B!$C19,0),IF(Itens_B!$D19="mitigacao",IF(Entradas_B!E19="Sim",-Itens_B!$C19,Itens_B!$C19),IF(Itens_B!$D19="evidencia",IF(Entradas_B!E19="Sim",-Itens_B!$C19,0),0))))</f>
        <v/>
      </c>
      <c r="E21">
        <f>IF(Entradas_B!F19="N/A",0,IF(Itens_B!$D19="risco",IF(Entradas_B!F19=Itens_B!$E19,Itens_B!$C19,0),IF(Itens_B!$D19="mitigacao",IF(Entradas_B!F19="Sim",-Itens_B!$C19,Itens_B!$C19),IF(Itens_B!$D19="evidencia",IF(Entradas_B!F19="Sim",-Itens_B!$C19,0),0))))</f>
        <v/>
      </c>
      <c r="F21">
        <f>IF(Entradas_B!G19="N/A",0,IF(Itens_B!$D19="risco",IF(Entradas_B!G19=Itens_B!$E19,Itens_B!$C19,0),IF(Itens_B!$D19="mitigacao",IF(Entradas_B!G19="Sim",-Itens_B!$C19,Itens_B!$C19),IF(Itens_B!$D19="evidencia",IF(Entradas_B!G19="Sim",-Itens_B!$C19,0),0))))</f>
        <v/>
      </c>
      <c r="G21">
        <f>IF(Entradas_B!H19="N/A",0,IF(Itens_B!$D19="risco",IF(Entradas_B!H19=Itens_B!$E19,Itens_B!$C19,0),IF(Itens_B!$D19="mitigacao",IF(Entradas_B!H19="Sim",-Itens_B!$C19,Itens_B!$C19),IF(Itens_B!$D19="evidencia",IF(Entradas_B!H19="Sim",-Itens_B!$C19,0),0))))</f>
        <v/>
      </c>
      <c r="H21">
        <f>IF(Entradas_B!I19="N/A",0,IF(Itens_B!$D19="risco",IF(Entradas_B!I19=Itens_B!$E19,Itens_B!$C19,0),IF(Itens_B!$D19="mitigacao",IF(Entradas_B!I19="Sim",-Itens_B!$C19,Itens_B!$C19),IF(Itens_B!$D19="evidencia",IF(Entradas_B!I19="Sim",-Itens_B!$C19,0),0))))</f>
        <v/>
      </c>
      <c r="I21">
        <f>IF(Entradas_B!J19="N/A",0,IF(Itens_B!$D19="risco",IF(Entradas_B!J19=Itens_B!$E19,Itens_B!$C19,0),IF(Itens_B!$D19="mitigacao",IF(Entradas_B!J19="Sim",-Itens_B!$C19,Itens_B!$C19),IF(Itens_B!$D19="evidencia",IF(Entradas_B!J19="Sim",-Itens_B!$C19,0),0))))</f>
        <v/>
      </c>
      <c r="J21">
        <f>IF(Entradas_B!K19="N/A",0,IF(Itens_B!$D19="risco",IF(Entradas_B!K19=Itens_B!$E19,Itens_B!$C19,0),IF(Itens_B!$D19="mitigacao",IF(Entradas_B!K19="Sim",-Itens_B!$C19,Itens_B!$C19),IF(Itens_B!$D19="evidencia",IF(Entradas_B!K19="Sim",-Itens_B!$C19,0),0))))</f>
        <v/>
      </c>
      <c r="K21">
        <f>IF(Entradas_B!L19="N/A",0,IF(Itens_B!$D19="risco",IF(Entradas_B!L19=Itens_B!$E19,Itens_B!$C19,0),IF(Itens_B!$D19="mitigacao",IF(Entradas_B!L19="Sim",-Itens_B!$C19,Itens_B!$C19),IF(Itens_B!$D19="evidencia",IF(Entradas_B!L19="Sim",-Itens_B!$C19,0),0))))</f>
        <v/>
      </c>
      <c r="L21">
        <f>IF(Entradas_B!M19="N/A",0,IF(Itens_B!$D19="risco",IF(Entradas_B!M19=Itens_B!$E19,Itens_B!$C19,0),IF(Itens_B!$D19="mitigacao",IF(Entradas_B!M19="Sim",-Itens_B!$C19,Itens_B!$C19),IF(Itens_B!$D19="evidencia",IF(Entradas_B!M19="Sim",-Itens_B!$C19,0),0))))</f>
        <v/>
      </c>
      <c r="M21">
        <f>IF(Entradas_B!N19="N/A",0,IF(Itens_B!$D19="risco",IF(Entradas_B!N19=Itens_B!$E19,Itens_B!$C19,0),IF(Itens_B!$D19="mitigacao",IF(Entradas_B!N19="Sim",-Itens_B!$C19,Itens_B!$C19),IF(Itens_B!$D19="evidencia",IF(Entradas_B!N19="Sim",-Itens_B!$C19,0),0))))</f>
        <v/>
      </c>
      <c r="N21">
        <f>IF(Entradas_B!O19="N/A",0,IF(Itens_B!$D19="risco",IF(Entradas_B!O19=Itens_B!$E19,Itens_B!$C19,0),IF(Itens_B!$D19="mitigacao",IF(Entradas_B!O19="Sim",-Itens_B!$C19,Itens_B!$C19),IF(Itens_B!$D19="evidencia",IF(Entradas_B!O19="Sim",-Itens_B!$C19,0),0))))</f>
        <v/>
      </c>
      <c r="O21">
        <f>IF(Entradas_B!P19="N/A",0,IF(Itens_B!$D19="risco",IF(Entradas_B!P19=Itens_B!$E19,Itens_B!$C19,0),IF(Itens_B!$D19="mitigacao",IF(Entradas_B!P19="Sim",-Itens_B!$C19,Itens_B!$C19),IF(Itens_B!$D19="evidencia",IF(Entradas_B!P19="Sim",-Itens_B!$C19,0),0))))</f>
        <v/>
      </c>
      <c r="P21">
        <f>IF(Entradas_B!Q19="N/A",0,IF(Itens_B!$D19="risco",IF(Entradas_B!Q19=Itens_B!$E19,Itens_B!$C19,0),IF(Itens_B!$D19="mitigacao",IF(Entradas_B!Q19="Sim",-Itens_B!$C19,Itens_B!$C19),IF(Itens_B!$D19="evidencia",IF(Entradas_B!Q19="Sim",-Itens_B!$C19,0),0))))</f>
        <v/>
      </c>
      <c r="Q21">
        <f>IF(Entradas_B!R19="N/A",0,IF(Itens_B!$D19="risco",IF(Entradas_B!R19=Itens_B!$E19,Itens_B!$C19,0),IF(Itens_B!$D19="mitigacao",IF(Entradas_B!R19="Sim",-Itens_B!$C19,Itens_B!$C19),IF(Itens_B!$D19="evidencia",IF(Entradas_B!R19="Sim",-Itens_B!$C19,0),0))))</f>
        <v/>
      </c>
      <c r="R21">
        <f>IF(Entradas_B!S19="N/A",0,IF(Itens_B!$D19="risco",IF(Entradas_B!S19=Itens_B!$E19,Itens_B!$C19,0),IF(Itens_B!$D19="mitigacao",IF(Entradas_B!S19="Sim",-Itens_B!$C19,Itens_B!$C19),IF(Itens_B!$D19="evidencia",IF(Entradas_B!S19="Sim",-Itens_B!$C19,0),0))))</f>
        <v/>
      </c>
      <c r="S21">
        <f>IF(Entradas_B!T19="N/A",0,IF(Itens_B!$D19="risco",IF(Entradas_B!T19=Itens_B!$E19,Itens_B!$C19,0),IF(Itens_B!$D19="mitigacao",IF(Entradas_B!T19="Sim",-Itens_B!$C19,Itens_B!$C19),IF(Itens_B!$D19="evidencia",IF(Entradas_B!T19="Sim",-Itens_B!$C19,0),0))))</f>
        <v/>
      </c>
      <c r="T21">
        <f>IF(Entradas_B!U19="N/A",0,IF(Itens_B!$D19="risco",IF(Entradas_B!U19=Itens_B!$E19,Itens_B!$C19,0),IF(Itens_B!$D19="mitigacao",IF(Entradas_B!U19="Sim",-Itens_B!$C19,Itens_B!$C19),IF(Itens_B!$D19="evidencia",IF(Entradas_B!U19="Sim",-Itens_B!$C19,0),0))))</f>
        <v/>
      </c>
      <c r="U21">
        <f>IF(Entradas_B!V19="N/A",0,IF(Itens_B!$D19="risco",IF(Entradas_B!V19=Itens_B!$E19,Itens_B!$C19,0),IF(Itens_B!$D19="mitigacao",IF(Entradas_B!V19="Sim",-Itens_B!$C19,Itens_B!$C19),IF(Itens_B!$D19="evidencia",IF(Entradas_B!V19="Sim",-Itens_B!$C19,0),0))))</f>
        <v/>
      </c>
      <c r="V21">
        <f>IF(Entradas_B!W19="N/A",0,IF(Itens_B!$D19="risco",IF(Entradas_B!W19=Itens_B!$E19,Itens_B!$C19,0),IF(Itens_B!$D19="mitigacao",IF(Entradas_B!W19="Sim",-Itens_B!$C19,Itens_B!$C19),IF(Itens_B!$D19="evidencia",IF(Entradas_B!W19="Sim",-Itens_B!$C19,0),0))))</f>
        <v/>
      </c>
      <c r="W21">
        <f>IF(Entradas_B!X19="N/A",0,IF(Itens_B!$D19="risco",IF(Entradas_B!X19=Itens_B!$E19,Itens_B!$C19,0),IF(Itens_B!$D19="mitigacao",IF(Entradas_B!X19="Sim",-Itens_B!$C19,Itens_B!$C19),IF(Itens_B!$D19="evidencia",IF(Entradas_B!X19="Sim",-Itens_B!$C19,0),0))))</f>
        <v/>
      </c>
      <c r="X21">
        <f>IF(Entradas_B!Y19="N/A",0,IF(Itens_B!$D19="risco",IF(Entradas_B!Y19=Itens_B!$E19,Itens_B!$C19,0),IF(Itens_B!$D19="mitigacao",IF(Entradas_B!Y19="Sim",-Itens_B!$C19,Itens_B!$C19),IF(Itens_B!$D19="evidencia",IF(Entradas_B!Y19="Sim",-Itens_B!$C19,0),0))))</f>
        <v/>
      </c>
      <c r="Y21">
        <f>IF(Entradas_B!Z19="N/A",0,IF(Itens_B!$D19="risco",IF(Entradas_B!Z19=Itens_B!$E19,Itens_B!$C19,0),IF(Itens_B!$D19="mitigacao",IF(Entradas_B!Z19="Sim",-Itens_B!$C19,Itens_B!$C19),IF(Itens_B!$D19="evidencia",IF(Entradas_B!Z19="Sim",-Itens_B!$C19,0),0))))</f>
        <v/>
      </c>
      <c r="Z21">
        <f>IF(Entradas_B!AA19="N/A",0,IF(Itens_B!$D19="risco",IF(Entradas_B!AA19=Itens_B!$E19,Itens_B!$C19,0),IF(Itens_B!$D19="mitigacao",IF(Entradas_B!AA19="Sim",-Itens_B!$C19,Itens_B!$C19),IF(Itens_B!$D19="evidencia",IF(Entradas_B!AA19="Sim",-Itens_B!$C19,0),0))))</f>
        <v/>
      </c>
      <c r="AA21">
        <f>IF(Entradas_B!AB19="N/A",0,IF(Itens_B!$D19="risco",IF(Entradas_B!AB19=Itens_B!$E19,Itens_B!$C19,0),IF(Itens_B!$D19="mitigacao",IF(Entradas_B!AB19="Sim",-Itens_B!$C19,Itens_B!$C19),IF(Itens_B!$D19="evidencia",IF(Entradas_B!AB19="Sim",-Itens_B!$C19,0),0))))</f>
        <v/>
      </c>
      <c r="AB21">
        <f>IF(Entradas_B!AC19="N/A",0,IF(Itens_B!$D19="risco",IF(Entradas_B!AC19=Itens_B!$E19,Itens_B!$C19,0),IF(Itens_B!$D19="mitigacao",IF(Entradas_B!AC19="Sim",-Itens_B!$C19,Itens_B!$C19),IF(Itens_B!$D19="evidencia",IF(Entradas_B!AC19="Sim",-Itens_B!$C19,0),0))))</f>
        <v/>
      </c>
      <c r="AC21">
        <f>IF(Entradas_B!AD19="N/A",0,IF(Itens_B!$D19="risco",IF(Entradas_B!AD19=Itens_B!$E19,Itens_B!$C19,0),IF(Itens_B!$D19="mitigacao",IF(Entradas_B!AD19="Sim",-Itens_B!$C19,Itens_B!$C19),IF(Itens_B!$D19="evidencia",IF(Entradas_B!AD19="Sim",-Itens_B!$C19,0),0))))</f>
        <v/>
      </c>
      <c r="AD21">
        <f>IF(Entradas_B!AE19="N/A",0,IF(Itens_B!$D19="risco",IF(Entradas_B!AE19=Itens_B!$E19,Itens_B!$C19,0),IF(Itens_B!$D19="mitigacao",IF(Entradas_B!AE19="Sim",-Itens_B!$C19,Itens_B!$C19),IF(Itens_B!$D19="evidencia",IF(Entradas_B!AE19="Sim",-Itens_B!$C19,0),0))))</f>
        <v/>
      </c>
      <c r="AE21">
        <f>IF(Entradas_B!AF19="N/A",0,IF(Itens_B!$D19="risco",IF(Entradas_B!AF19=Itens_B!$E19,Itens_B!$C19,0),IF(Itens_B!$D19="mitigacao",IF(Entradas_B!AF19="Sim",-Itens_B!$C19,Itens_B!$C19),IF(Itens_B!$D19="evidencia",IF(Entradas_B!AF19="Sim",-Itens_B!$C19,0),0))))</f>
        <v/>
      </c>
      <c r="AF21">
        <f>IF(Entradas_B!AG19="N/A",0,IF(Itens_B!$D19="risco",IF(Entradas_B!AG19=Itens_B!$E19,Itens_B!$C19,0),IF(Itens_B!$D19="mitigacao",IF(Entradas_B!AG19="Sim",-Itens_B!$C19,Itens_B!$C19),IF(Itens_B!$D19="evidencia",IF(Entradas_B!AG19="Sim",-Itens_B!$C19,0),0))))</f>
        <v/>
      </c>
    </row>
    <row r="22">
      <c r="A22" t="inlineStr">
        <is>
          <t>P3.4</t>
        </is>
      </c>
      <c r="B22">
        <f>IF(Entradas_B!C20="N/A",0,IF(Itens_B!$D20="risco",IF(Entradas_B!C20=Itens_B!$E20,Itens_B!$C20,0),IF(Itens_B!$D20="mitigacao",IF(Entradas_B!C20="Sim",-Itens_B!$C20,Itens_B!$C20),IF(Itens_B!$D20="evidencia",IF(Entradas_B!C20="Sim",-Itens_B!$C20,0),0))))</f>
        <v/>
      </c>
      <c r="C22">
        <f>IF(Entradas_B!D20="N/A",0,IF(Itens_B!$D20="risco",IF(Entradas_B!D20=Itens_B!$E20,Itens_B!$C20,0),IF(Itens_B!$D20="mitigacao",IF(Entradas_B!D20="Sim",-Itens_B!$C20,Itens_B!$C20),IF(Itens_B!$D20="evidencia",IF(Entradas_B!D20="Sim",-Itens_B!$C20,0),0))))</f>
        <v/>
      </c>
      <c r="D22">
        <f>IF(Entradas_B!E20="N/A",0,IF(Itens_B!$D20="risco",IF(Entradas_B!E20=Itens_B!$E20,Itens_B!$C20,0),IF(Itens_B!$D20="mitigacao",IF(Entradas_B!E20="Sim",-Itens_B!$C20,Itens_B!$C20),IF(Itens_B!$D20="evidencia",IF(Entradas_B!E20="Sim",-Itens_B!$C20,0),0))))</f>
        <v/>
      </c>
      <c r="E22">
        <f>IF(Entradas_B!F20="N/A",0,IF(Itens_B!$D20="risco",IF(Entradas_B!F20=Itens_B!$E20,Itens_B!$C20,0),IF(Itens_B!$D20="mitigacao",IF(Entradas_B!F20="Sim",-Itens_B!$C20,Itens_B!$C20),IF(Itens_B!$D20="evidencia",IF(Entradas_B!F20="Sim",-Itens_B!$C20,0),0))))</f>
        <v/>
      </c>
      <c r="F22">
        <f>IF(Entradas_B!G20="N/A",0,IF(Itens_B!$D20="risco",IF(Entradas_B!G20=Itens_B!$E20,Itens_B!$C20,0),IF(Itens_B!$D20="mitigacao",IF(Entradas_B!G20="Sim",-Itens_B!$C20,Itens_B!$C20),IF(Itens_B!$D20="evidencia",IF(Entradas_B!G20="Sim",-Itens_B!$C20,0),0))))</f>
        <v/>
      </c>
      <c r="G22">
        <f>IF(Entradas_B!H20="N/A",0,IF(Itens_B!$D20="risco",IF(Entradas_B!H20=Itens_B!$E20,Itens_B!$C20,0),IF(Itens_B!$D20="mitigacao",IF(Entradas_B!H20="Sim",-Itens_B!$C20,Itens_B!$C20),IF(Itens_B!$D20="evidencia",IF(Entradas_B!H20="Sim",-Itens_B!$C20,0),0))))</f>
        <v/>
      </c>
      <c r="H22">
        <f>IF(Entradas_B!I20="N/A",0,IF(Itens_B!$D20="risco",IF(Entradas_B!I20=Itens_B!$E20,Itens_B!$C20,0),IF(Itens_B!$D20="mitigacao",IF(Entradas_B!I20="Sim",-Itens_B!$C20,Itens_B!$C20),IF(Itens_B!$D20="evidencia",IF(Entradas_B!I20="Sim",-Itens_B!$C20,0),0))))</f>
        <v/>
      </c>
      <c r="I22">
        <f>IF(Entradas_B!J20="N/A",0,IF(Itens_B!$D20="risco",IF(Entradas_B!J20=Itens_B!$E20,Itens_B!$C20,0),IF(Itens_B!$D20="mitigacao",IF(Entradas_B!J20="Sim",-Itens_B!$C20,Itens_B!$C20),IF(Itens_B!$D20="evidencia",IF(Entradas_B!J20="Sim",-Itens_B!$C20,0),0))))</f>
        <v/>
      </c>
      <c r="J22">
        <f>IF(Entradas_B!K20="N/A",0,IF(Itens_B!$D20="risco",IF(Entradas_B!K20=Itens_B!$E20,Itens_B!$C20,0),IF(Itens_B!$D20="mitigacao",IF(Entradas_B!K20="Sim",-Itens_B!$C20,Itens_B!$C20),IF(Itens_B!$D20="evidencia",IF(Entradas_B!K20="Sim",-Itens_B!$C20,0),0))))</f>
        <v/>
      </c>
      <c r="K22">
        <f>IF(Entradas_B!L20="N/A",0,IF(Itens_B!$D20="risco",IF(Entradas_B!L20=Itens_B!$E20,Itens_B!$C20,0),IF(Itens_B!$D20="mitigacao",IF(Entradas_B!L20="Sim",-Itens_B!$C20,Itens_B!$C20),IF(Itens_B!$D20="evidencia",IF(Entradas_B!L20="Sim",-Itens_B!$C20,0),0))))</f>
        <v/>
      </c>
      <c r="L22">
        <f>IF(Entradas_B!M20="N/A",0,IF(Itens_B!$D20="risco",IF(Entradas_B!M20=Itens_B!$E20,Itens_B!$C20,0),IF(Itens_B!$D20="mitigacao",IF(Entradas_B!M20="Sim",-Itens_B!$C20,Itens_B!$C20),IF(Itens_B!$D20="evidencia",IF(Entradas_B!M20="Sim",-Itens_B!$C20,0),0))))</f>
        <v/>
      </c>
      <c r="M22">
        <f>IF(Entradas_B!N20="N/A",0,IF(Itens_B!$D20="risco",IF(Entradas_B!N20=Itens_B!$E20,Itens_B!$C20,0),IF(Itens_B!$D20="mitigacao",IF(Entradas_B!N20="Sim",-Itens_B!$C20,Itens_B!$C20),IF(Itens_B!$D20="evidencia",IF(Entradas_B!N20="Sim",-Itens_B!$C20,0),0))))</f>
        <v/>
      </c>
      <c r="N22">
        <f>IF(Entradas_B!O20="N/A",0,IF(Itens_B!$D20="risco",IF(Entradas_B!O20=Itens_B!$E20,Itens_B!$C20,0),IF(Itens_B!$D20="mitigacao",IF(Entradas_B!O20="Sim",-Itens_B!$C20,Itens_B!$C20),IF(Itens_B!$D20="evidencia",IF(Entradas_B!O20="Sim",-Itens_B!$C20,0),0))))</f>
        <v/>
      </c>
      <c r="O22">
        <f>IF(Entradas_B!P20="N/A",0,IF(Itens_B!$D20="risco",IF(Entradas_B!P20=Itens_B!$E20,Itens_B!$C20,0),IF(Itens_B!$D20="mitigacao",IF(Entradas_B!P20="Sim",-Itens_B!$C20,Itens_B!$C20),IF(Itens_B!$D20="evidencia",IF(Entradas_B!P20="Sim",-Itens_B!$C20,0),0))))</f>
        <v/>
      </c>
      <c r="P22">
        <f>IF(Entradas_B!Q20="N/A",0,IF(Itens_B!$D20="risco",IF(Entradas_B!Q20=Itens_B!$E20,Itens_B!$C20,0),IF(Itens_B!$D20="mitigacao",IF(Entradas_B!Q20="Sim",-Itens_B!$C20,Itens_B!$C20),IF(Itens_B!$D20="evidencia",IF(Entradas_B!Q20="Sim",-Itens_B!$C20,0),0))))</f>
        <v/>
      </c>
      <c r="Q22">
        <f>IF(Entradas_B!R20="N/A",0,IF(Itens_B!$D20="risco",IF(Entradas_B!R20=Itens_B!$E20,Itens_B!$C20,0),IF(Itens_B!$D20="mitigacao",IF(Entradas_B!R20="Sim",-Itens_B!$C20,Itens_B!$C20),IF(Itens_B!$D20="evidencia",IF(Entradas_B!R20="Sim",-Itens_B!$C20,0),0))))</f>
        <v/>
      </c>
      <c r="R22">
        <f>IF(Entradas_B!S20="N/A",0,IF(Itens_B!$D20="risco",IF(Entradas_B!S20=Itens_B!$E20,Itens_B!$C20,0),IF(Itens_B!$D20="mitigacao",IF(Entradas_B!S20="Sim",-Itens_B!$C20,Itens_B!$C20),IF(Itens_B!$D20="evidencia",IF(Entradas_B!S20="Sim",-Itens_B!$C20,0),0))))</f>
        <v/>
      </c>
      <c r="S22">
        <f>IF(Entradas_B!T20="N/A",0,IF(Itens_B!$D20="risco",IF(Entradas_B!T20=Itens_B!$E20,Itens_B!$C20,0),IF(Itens_B!$D20="mitigacao",IF(Entradas_B!T20="Sim",-Itens_B!$C20,Itens_B!$C20),IF(Itens_B!$D20="evidencia",IF(Entradas_B!T20="Sim",-Itens_B!$C20,0),0))))</f>
        <v/>
      </c>
      <c r="T22">
        <f>IF(Entradas_B!U20="N/A",0,IF(Itens_B!$D20="risco",IF(Entradas_B!U20=Itens_B!$E20,Itens_B!$C20,0),IF(Itens_B!$D20="mitigacao",IF(Entradas_B!U20="Sim",-Itens_B!$C20,Itens_B!$C20),IF(Itens_B!$D20="evidencia",IF(Entradas_B!U20="Sim",-Itens_B!$C20,0),0))))</f>
        <v/>
      </c>
      <c r="U22">
        <f>IF(Entradas_B!V20="N/A",0,IF(Itens_B!$D20="risco",IF(Entradas_B!V20=Itens_B!$E20,Itens_B!$C20,0),IF(Itens_B!$D20="mitigacao",IF(Entradas_B!V20="Sim",-Itens_B!$C20,Itens_B!$C20),IF(Itens_B!$D20="evidencia",IF(Entradas_B!V20="Sim",-Itens_B!$C20,0),0))))</f>
        <v/>
      </c>
      <c r="V22">
        <f>IF(Entradas_B!W20="N/A",0,IF(Itens_B!$D20="risco",IF(Entradas_B!W20=Itens_B!$E20,Itens_B!$C20,0),IF(Itens_B!$D20="mitigacao",IF(Entradas_B!W20="Sim",-Itens_B!$C20,Itens_B!$C20),IF(Itens_B!$D20="evidencia",IF(Entradas_B!W20="Sim",-Itens_B!$C20,0),0))))</f>
        <v/>
      </c>
      <c r="W22">
        <f>IF(Entradas_B!X20="N/A",0,IF(Itens_B!$D20="risco",IF(Entradas_B!X20=Itens_B!$E20,Itens_B!$C20,0),IF(Itens_B!$D20="mitigacao",IF(Entradas_B!X20="Sim",-Itens_B!$C20,Itens_B!$C20),IF(Itens_B!$D20="evidencia",IF(Entradas_B!X20="Sim",-Itens_B!$C20,0),0))))</f>
        <v/>
      </c>
      <c r="X22">
        <f>IF(Entradas_B!Y20="N/A",0,IF(Itens_B!$D20="risco",IF(Entradas_B!Y20=Itens_B!$E20,Itens_B!$C20,0),IF(Itens_B!$D20="mitigacao",IF(Entradas_B!Y20="Sim",-Itens_B!$C20,Itens_B!$C20),IF(Itens_B!$D20="evidencia",IF(Entradas_B!Y20="Sim",-Itens_B!$C20,0),0))))</f>
        <v/>
      </c>
      <c r="Y22">
        <f>IF(Entradas_B!Z20="N/A",0,IF(Itens_B!$D20="risco",IF(Entradas_B!Z20=Itens_B!$E20,Itens_B!$C20,0),IF(Itens_B!$D20="mitigacao",IF(Entradas_B!Z20="Sim",-Itens_B!$C20,Itens_B!$C20),IF(Itens_B!$D20="evidencia",IF(Entradas_B!Z20="Sim",-Itens_B!$C20,0),0))))</f>
        <v/>
      </c>
      <c r="Z22">
        <f>IF(Entradas_B!AA20="N/A",0,IF(Itens_B!$D20="risco",IF(Entradas_B!AA20=Itens_B!$E20,Itens_B!$C20,0),IF(Itens_B!$D20="mitigacao",IF(Entradas_B!AA20="Sim",-Itens_B!$C20,Itens_B!$C20),IF(Itens_B!$D20="evidencia",IF(Entradas_B!AA20="Sim",-Itens_B!$C20,0),0))))</f>
        <v/>
      </c>
      <c r="AA22">
        <f>IF(Entradas_B!AB20="N/A",0,IF(Itens_B!$D20="risco",IF(Entradas_B!AB20=Itens_B!$E20,Itens_B!$C20,0),IF(Itens_B!$D20="mitigacao",IF(Entradas_B!AB20="Sim",-Itens_B!$C20,Itens_B!$C20),IF(Itens_B!$D20="evidencia",IF(Entradas_B!AB20="Sim",-Itens_B!$C20,0),0))))</f>
        <v/>
      </c>
      <c r="AB22">
        <f>IF(Entradas_B!AC20="N/A",0,IF(Itens_B!$D20="risco",IF(Entradas_B!AC20=Itens_B!$E20,Itens_B!$C20,0),IF(Itens_B!$D20="mitigacao",IF(Entradas_B!AC20="Sim",-Itens_B!$C20,Itens_B!$C20),IF(Itens_B!$D20="evidencia",IF(Entradas_B!AC20="Sim",-Itens_B!$C20,0),0))))</f>
        <v/>
      </c>
      <c r="AC22">
        <f>IF(Entradas_B!AD20="N/A",0,IF(Itens_B!$D20="risco",IF(Entradas_B!AD20=Itens_B!$E20,Itens_B!$C20,0),IF(Itens_B!$D20="mitigacao",IF(Entradas_B!AD20="Sim",-Itens_B!$C20,Itens_B!$C20),IF(Itens_B!$D20="evidencia",IF(Entradas_B!AD20="Sim",-Itens_B!$C20,0),0))))</f>
        <v/>
      </c>
      <c r="AD22">
        <f>IF(Entradas_B!AE20="N/A",0,IF(Itens_B!$D20="risco",IF(Entradas_B!AE20=Itens_B!$E20,Itens_B!$C20,0),IF(Itens_B!$D20="mitigacao",IF(Entradas_B!AE20="Sim",-Itens_B!$C20,Itens_B!$C20),IF(Itens_B!$D20="evidencia",IF(Entradas_B!AE20="Sim",-Itens_B!$C20,0),0))))</f>
        <v/>
      </c>
      <c r="AE22">
        <f>IF(Entradas_B!AF20="N/A",0,IF(Itens_B!$D20="risco",IF(Entradas_B!AF20=Itens_B!$E20,Itens_B!$C20,0),IF(Itens_B!$D20="mitigacao",IF(Entradas_B!AF20="Sim",-Itens_B!$C20,Itens_B!$C20),IF(Itens_B!$D20="evidencia",IF(Entradas_B!AF20="Sim",-Itens_B!$C20,0),0))))</f>
        <v/>
      </c>
      <c r="AF22">
        <f>IF(Entradas_B!AG20="N/A",0,IF(Itens_B!$D20="risco",IF(Entradas_B!AG20=Itens_B!$E20,Itens_B!$C20,0),IF(Itens_B!$D20="mitigacao",IF(Entradas_B!AG20="Sim",-Itens_B!$C20,Itens_B!$C20),IF(Itens_B!$D20="evidencia",IF(Entradas_B!AG20="Sim",-Itens_B!$C20,0),0))))</f>
        <v/>
      </c>
    </row>
    <row r="23">
      <c r="A23" t="inlineStr">
        <is>
          <t>P3.5</t>
        </is>
      </c>
      <c r="B23">
        <f>IF(Entradas_B!C21="N/A",0,IF(Itens_B!$D21="risco",IF(Entradas_B!C21=Itens_B!$E21,Itens_B!$C21,0),IF(Itens_B!$D21="mitigacao",IF(Entradas_B!C21="Sim",-Itens_B!$C21,Itens_B!$C21),IF(Itens_B!$D21="evidencia",IF(Entradas_B!C21="Sim",-Itens_B!$C21,0),0))))</f>
        <v/>
      </c>
      <c r="C23">
        <f>IF(Entradas_B!D21="N/A",0,IF(Itens_B!$D21="risco",IF(Entradas_B!D21=Itens_B!$E21,Itens_B!$C21,0),IF(Itens_B!$D21="mitigacao",IF(Entradas_B!D21="Sim",-Itens_B!$C21,Itens_B!$C21),IF(Itens_B!$D21="evidencia",IF(Entradas_B!D21="Sim",-Itens_B!$C21,0),0))))</f>
        <v/>
      </c>
      <c r="D23">
        <f>IF(Entradas_B!E21="N/A",0,IF(Itens_B!$D21="risco",IF(Entradas_B!E21=Itens_B!$E21,Itens_B!$C21,0),IF(Itens_B!$D21="mitigacao",IF(Entradas_B!E21="Sim",-Itens_B!$C21,Itens_B!$C21),IF(Itens_B!$D21="evidencia",IF(Entradas_B!E21="Sim",-Itens_B!$C21,0),0))))</f>
        <v/>
      </c>
      <c r="E23">
        <f>IF(Entradas_B!F21="N/A",0,IF(Itens_B!$D21="risco",IF(Entradas_B!F21=Itens_B!$E21,Itens_B!$C21,0),IF(Itens_B!$D21="mitigacao",IF(Entradas_B!F21="Sim",-Itens_B!$C21,Itens_B!$C21),IF(Itens_B!$D21="evidencia",IF(Entradas_B!F21="Sim",-Itens_B!$C21,0),0))))</f>
        <v/>
      </c>
      <c r="F23">
        <f>IF(Entradas_B!G21="N/A",0,IF(Itens_B!$D21="risco",IF(Entradas_B!G21=Itens_B!$E21,Itens_B!$C21,0),IF(Itens_B!$D21="mitigacao",IF(Entradas_B!G21="Sim",-Itens_B!$C21,Itens_B!$C21),IF(Itens_B!$D21="evidencia",IF(Entradas_B!G21="Sim",-Itens_B!$C21,0),0))))</f>
        <v/>
      </c>
      <c r="G23">
        <f>IF(Entradas_B!H21="N/A",0,IF(Itens_B!$D21="risco",IF(Entradas_B!H21=Itens_B!$E21,Itens_B!$C21,0),IF(Itens_B!$D21="mitigacao",IF(Entradas_B!H21="Sim",-Itens_B!$C21,Itens_B!$C21),IF(Itens_B!$D21="evidencia",IF(Entradas_B!H21="Sim",-Itens_B!$C21,0),0))))</f>
        <v/>
      </c>
      <c r="H23">
        <f>IF(Entradas_B!I21="N/A",0,IF(Itens_B!$D21="risco",IF(Entradas_B!I21=Itens_B!$E21,Itens_B!$C21,0),IF(Itens_B!$D21="mitigacao",IF(Entradas_B!I21="Sim",-Itens_B!$C21,Itens_B!$C21),IF(Itens_B!$D21="evidencia",IF(Entradas_B!I21="Sim",-Itens_B!$C21,0),0))))</f>
        <v/>
      </c>
      <c r="I23">
        <f>IF(Entradas_B!J21="N/A",0,IF(Itens_B!$D21="risco",IF(Entradas_B!J21=Itens_B!$E21,Itens_B!$C21,0),IF(Itens_B!$D21="mitigacao",IF(Entradas_B!J21="Sim",-Itens_B!$C21,Itens_B!$C21),IF(Itens_B!$D21="evidencia",IF(Entradas_B!J21="Sim",-Itens_B!$C21,0),0))))</f>
        <v/>
      </c>
      <c r="J23">
        <f>IF(Entradas_B!K21="N/A",0,IF(Itens_B!$D21="risco",IF(Entradas_B!K21=Itens_B!$E21,Itens_B!$C21,0),IF(Itens_B!$D21="mitigacao",IF(Entradas_B!K21="Sim",-Itens_B!$C21,Itens_B!$C21),IF(Itens_B!$D21="evidencia",IF(Entradas_B!K21="Sim",-Itens_B!$C21,0),0))))</f>
        <v/>
      </c>
      <c r="K23">
        <f>IF(Entradas_B!L21="N/A",0,IF(Itens_B!$D21="risco",IF(Entradas_B!L21=Itens_B!$E21,Itens_B!$C21,0),IF(Itens_B!$D21="mitigacao",IF(Entradas_B!L21="Sim",-Itens_B!$C21,Itens_B!$C21),IF(Itens_B!$D21="evidencia",IF(Entradas_B!L21="Sim",-Itens_B!$C21,0),0))))</f>
        <v/>
      </c>
      <c r="L23">
        <f>IF(Entradas_B!M21="N/A",0,IF(Itens_B!$D21="risco",IF(Entradas_B!M21=Itens_B!$E21,Itens_B!$C21,0),IF(Itens_B!$D21="mitigacao",IF(Entradas_B!M21="Sim",-Itens_B!$C21,Itens_B!$C21),IF(Itens_B!$D21="evidencia",IF(Entradas_B!M21="Sim",-Itens_B!$C21,0),0))))</f>
        <v/>
      </c>
      <c r="M23">
        <f>IF(Entradas_B!N21="N/A",0,IF(Itens_B!$D21="risco",IF(Entradas_B!N21=Itens_B!$E21,Itens_B!$C21,0),IF(Itens_B!$D21="mitigacao",IF(Entradas_B!N21="Sim",-Itens_B!$C21,Itens_B!$C21),IF(Itens_B!$D21="evidencia",IF(Entradas_B!N21="Sim",-Itens_B!$C21,0),0))))</f>
        <v/>
      </c>
      <c r="N23">
        <f>IF(Entradas_B!O21="N/A",0,IF(Itens_B!$D21="risco",IF(Entradas_B!O21=Itens_B!$E21,Itens_B!$C21,0),IF(Itens_B!$D21="mitigacao",IF(Entradas_B!O21="Sim",-Itens_B!$C21,Itens_B!$C21),IF(Itens_B!$D21="evidencia",IF(Entradas_B!O21="Sim",-Itens_B!$C21,0),0))))</f>
        <v/>
      </c>
      <c r="O23">
        <f>IF(Entradas_B!P21="N/A",0,IF(Itens_B!$D21="risco",IF(Entradas_B!P21=Itens_B!$E21,Itens_B!$C21,0),IF(Itens_B!$D21="mitigacao",IF(Entradas_B!P21="Sim",-Itens_B!$C21,Itens_B!$C21),IF(Itens_B!$D21="evidencia",IF(Entradas_B!P21="Sim",-Itens_B!$C21,0),0))))</f>
        <v/>
      </c>
      <c r="P23">
        <f>IF(Entradas_B!Q21="N/A",0,IF(Itens_B!$D21="risco",IF(Entradas_B!Q21=Itens_B!$E21,Itens_B!$C21,0),IF(Itens_B!$D21="mitigacao",IF(Entradas_B!Q21="Sim",-Itens_B!$C21,Itens_B!$C21),IF(Itens_B!$D21="evidencia",IF(Entradas_B!Q21="Sim",-Itens_B!$C21,0),0))))</f>
        <v/>
      </c>
      <c r="Q23">
        <f>IF(Entradas_B!R21="N/A",0,IF(Itens_B!$D21="risco",IF(Entradas_B!R21=Itens_B!$E21,Itens_B!$C21,0),IF(Itens_B!$D21="mitigacao",IF(Entradas_B!R21="Sim",-Itens_B!$C21,Itens_B!$C21),IF(Itens_B!$D21="evidencia",IF(Entradas_B!R21="Sim",-Itens_B!$C21,0),0))))</f>
        <v/>
      </c>
      <c r="R23">
        <f>IF(Entradas_B!S21="N/A",0,IF(Itens_B!$D21="risco",IF(Entradas_B!S21=Itens_B!$E21,Itens_B!$C21,0),IF(Itens_B!$D21="mitigacao",IF(Entradas_B!S21="Sim",-Itens_B!$C21,Itens_B!$C21),IF(Itens_B!$D21="evidencia",IF(Entradas_B!S21="Sim",-Itens_B!$C21,0),0))))</f>
        <v/>
      </c>
      <c r="S23">
        <f>IF(Entradas_B!T21="N/A",0,IF(Itens_B!$D21="risco",IF(Entradas_B!T21=Itens_B!$E21,Itens_B!$C21,0),IF(Itens_B!$D21="mitigacao",IF(Entradas_B!T21="Sim",-Itens_B!$C21,Itens_B!$C21),IF(Itens_B!$D21="evidencia",IF(Entradas_B!T21="Sim",-Itens_B!$C21,0),0))))</f>
        <v/>
      </c>
      <c r="T23">
        <f>IF(Entradas_B!U21="N/A",0,IF(Itens_B!$D21="risco",IF(Entradas_B!U21=Itens_B!$E21,Itens_B!$C21,0),IF(Itens_B!$D21="mitigacao",IF(Entradas_B!U21="Sim",-Itens_B!$C21,Itens_B!$C21),IF(Itens_B!$D21="evidencia",IF(Entradas_B!U21="Sim",-Itens_B!$C21,0),0))))</f>
        <v/>
      </c>
      <c r="U23">
        <f>IF(Entradas_B!V21="N/A",0,IF(Itens_B!$D21="risco",IF(Entradas_B!V21=Itens_B!$E21,Itens_B!$C21,0),IF(Itens_B!$D21="mitigacao",IF(Entradas_B!V21="Sim",-Itens_B!$C21,Itens_B!$C21),IF(Itens_B!$D21="evidencia",IF(Entradas_B!V21="Sim",-Itens_B!$C21,0),0))))</f>
        <v/>
      </c>
      <c r="V23">
        <f>IF(Entradas_B!W21="N/A",0,IF(Itens_B!$D21="risco",IF(Entradas_B!W21=Itens_B!$E21,Itens_B!$C21,0),IF(Itens_B!$D21="mitigacao",IF(Entradas_B!W21="Sim",-Itens_B!$C21,Itens_B!$C21),IF(Itens_B!$D21="evidencia",IF(Entradas_B!W21="Sim",-Itens_B!$C21,0),0))))</f>
        <v/>
      </c>
      <c r="W23">
        <f>IF(Entradas_B!X21="N/A",0,IF(Itens_B!$D21="risco",IF(Entradas_B!X21=Itens_B!$E21,Itens_B!$C21,0),IF(Itens_B!$D21="mitigacao",IF(Entradas_B!X21="Sim",-Itens_B!$C21,Itens_B!$C21),IF(Itens_B!$D21="evidencia",IF(Entradas_B!X21="Sim",-Itens_B!$C21,0),0))))</f>
        <v/>
      </c>
      <c r="X23">
        <f>IF(Entradas_B!Y21="N/A",0,IF(Itens_B!$D21="risco",IF(Entradas_B!Y21=Itens_B!$E21,Itens_B!$C21,0),IF(Itens_B!$D21="mitigacao",IF(Entradas_B!Y21="Sim",-Itens_B!$C21,Itens_B!$C21),IF(Itens_B!$D21="evidencia",IF(Entradas_B!Y21="Sim",-Itens_B!$C21,0),0))))</f>
        <v/>
      </c>
      <c r="Y23">
        <f>IF(Entradas_B!Z21="N/A",0,IF(Itens_B!$D21="risco",IF(Entradas_B!Z21=Itens_B!$E21,Itens_B!$C21,0),IF(Itens_B!$D21="mitigacao",IF(Entradas_B!Z21="Sim",-Itens_B!$C21,Itens_B!$C21),IF(Itens_B!$D21="evidencia",IF(Entradas_B!Z21="Sim",-Itens_B!$C21,0),0))))</f>
        <v/>
      </c>
      <c r="Z23">
        <f>IF(Entradas_B!AA21="N/A",0,IF(Itens_B!$D21="risco",IF(Entradas_B!AA21=Itens_B!$E21,Itens_B!$C21,0),IF(Itens_B!$D21="mitigacao",IF(Entradas_B!AA21="Sim",-Itens_B!$C21,Itens_B!$C21),IF(Itens_B!$D21="evidencia",IF(Entradas_B!AA21="Sim",-Itens_B!$C21,0),0))))</f>
        <v/>
      </c>
      <c r="AA23">
        <f>IF(Entradas_B!AB21="N/A",0,IF(Itens_B!$D21="risco",IF(Entradas_B!AB21=Itens_B!$E21,Itens_B!$C21,0),IF(Itens_B!$D21="mitigacao",IF(Entradas_B!AB21="Sim",-Itens_B!$C21,Itens_B!$C21),IF(Itens_B!$D21="evidencia",IF(Entradas_B!AB21="Sim",-Itens_B!$C21,0),0))))</f>
        <v/>
      </c>
      <c r="AB23">
        <f>IF(Entradas_B!AC21="N/A",0,IF(Itens_B!$D21="risco",IF(Entradas_B!AC21=Itens_B!$E21,Itens_B!$C21,0),IF(Itens_B!$D21="mitigacao",IF(Entradas_B!AC21="Sim",-Itens_B!$C21,Itens_B!$C21),IF(Itens_B!$D21="evidencia",IF(Entradas_B!AC21="Sim",-Itens_B!$C21,0),0))))</f>
        <v/>
      </c>
      <c r="AC23">
        <f>IF(Entradas_B!AD21="N/A",0,IF(Itens_B!$D21="risco",IF(Entradas_B!AD21=Itens_B!$E21,Itens_B!$C21,0),IF(Itens_B!$D21="mitigacao",IF(Entradas_B!AD21="Sim",-Itens_B!$C21,Itens_B!$C21),IF(Itens_B!$D21="evidencia",IF(Entradas_B!AD21="Sim",-Itens_B!$C21,0),0))))</f>
        <v/>
      </c>
      <c r="AD23">
        <f>IF(Entradas_B!AE21="N/A",0,IF(Itens_B!$D21="risco",IF(Entradas_B!AE21=Itens_B!$E21,Itens_B!$C21,0),IF(Itens_B!$D21="mitigacao",IF(Entradas_B!AE21="Sim",-Itens_B!$C21,Itens_B!$C21),IF(Itens_B!$D21="evidencia",IF(Entradas_B!AE21="Sim",-Itens_B!$C21,0),0))))</f>
        <v/>
      </c>
      <c r="AE23">
        <f>IF(Entradas_B!AF21="N/A",0,IF(Itens_B!$D21="risco",IF(Entradas_B!AF21=Itens_B!$E21,Itens_B!$C21,0),IF(Itens_B!$D21="mitigacao",IF(Entradas_B!AF21="Sim",-Itens_B!$C21,Itens_B!$C21),IF(Itens_B!$D21="evidencia",IF(Entradas_B!AF21="Sim",-Itens_B!$C21,0),0))))</f>
        <v/>
      </c>
      <c r="AF23">
        <f>IF(Entradas_B!AG21="N/A",0,IF(Itens_B!$D21="risco",IF(Entradas_B!AG21=Itens_B!$E21,Itens_B!$C21,0),IF(Itens_B!$D21="mitigacao",IF(Entradas_B!AG21="Sim",-Itens_B!$C21,Itens_B!$C21),IF(Itens_B!$D21="evidencia",IF(Entradas_B!AG21="Sim",-Itens_B!$C21,0),0))))</f>
        <v/>
      </c>
    </row>
    <row r="24">
      <c r="A24" t="inlineStr">
        <is>
          <t>P3.6</t>
        </is>
      </c>
      <c r="B24">
        <f>IF(Entradas_B!C22="N/A",0,IF(Itens_B!$D22="risco",IF(Entradas_B!C22=Itens_B!$E22,Itens_B!$C22,0),IF(Itens_B!$D22="mitigacao",IF(Entradas_B!C22="Sim",-Itens_B!$C22,Itens_B!$C22),IF(Itens_B!$D22="evidencia",IF(Entradas_B!C22="Sim",-Itens_B!$C22,0),0))))</f>
        <v/>
      </c>
      <c r="C24">
        <f>IF(Entradas_B!D22="N/A",0,IF(Itens_B!$D22="risco",IF(Entradas_B!D22=Itens_B!$E22,Itens_B!$C22,0),IF(Itens_B!$D22="mitigacao",IF(Entradas_B!D22="Sim",-Itens_B!$C22,Itens_B!$C22),IF(Itens_B!$D22="evidencia",IF(Entradas_B!D22="Sim",-Itens_B!$C22,0),0))))</f>
        <v/>
      </c>
      <c r="D24">
        <f>IF(Entradas_B!E22="N/A",0,IF(Itens_B!$D22="risco",IF(Entradas_B!E22=Itens_B!$E22,Itens_B!$C22,0),IF(Itens_B!$D22="mitigacao",IF(Entradas_B!E22="Sim",-Itens_B!$C22,Itens_B!$C22),IF(Itens_B!$D22="evidencia",IF(Entradas_B!E22="Sim",-Itens_B!$C22,0),0))))</f>
        <v/>
      </c>
      <c r="E24">
        <f>IF(Entradas_B!F22="N/A",0,IF(Itens_B!$D22="risco",IF(Entradas_B!F22=Itens_B!$E22,Itens_B!$C22,0),IF(Itens_B!$D22="mitigacao",IF(Entradas_B!F22="Sim",-Itens_B!$C22,Itens_B!$C22),IF(Itens_B!$D22="evidencia",IF(Entradas_B!F22="Sim",-Itens_B!$C22,0),0))))</f>
        <v/>
      </c>
      <c r="F24">
        <f>IF(Entradas_B!G22="N/A",0,IF(Itens_B!$D22="risco",IF(Entradas_B!G22=Itens_B!$E22,Itens_B!$C22,0),IF(Itens_B!$D22="mitigacao",IF(Entradas_B!G22="Sim",-Itens_B!$C22,Itens_B!$C22),IF(Itens_B!$D22="evidencia",IF(Entradas_B!G22="Sim",-Itens_B!$C22,0),0))))</f>
        <v/>
      </c>
      <c r="G24">
        <f>IF(Entradas_B!H22="N/A",0,IF(Itens_B!$D22="risco",IF(Entradas_B!H22=Itens_B!$E22,Itens_B!$C22,0),IF(Itens_B!$D22="mitigacao",IF(Entradas_B!H22="Sim",-Itens_B!$C22,Itens_B!$C22),IF(Itens_B!$D22="evidencia",IF(Entradas_B!H22="Sim",-Itens_B!$C22,0),0))))</f>
        <v/>
      </c>
      <c r="H24">
        <f>IF(Entradas_B!I22="N/A",0,IF(Itens_B!$D22="risco",IF(Entradas_B!I22=Itens_B!$E22,Itens_B!$C22,0),IF(Itens_B!$D22="mitigacao",IF(Entradas_B!I22="Sim",-Itens_B!$C22,Itens_B!$C22),IF(Itens_B!$D22="evidencia",IF(Entradas_B!I22="Sim",-Itens_B!$C22,0),0))))</f>
        <v/>
      </c>
      <c r="I24">
        <f>IF(Entradas_B!J22="N/A",0,IF(Itens_B!$D22="risco",IF(Entradas_B!J22=Itens_B!$E22,Itens_B!$C22,0),IF(Itens_B!$D22="mitigacao",IF(Entradas_B!J22="Sim",-Itens_B!$C22,Itens_B!$C22),IF(Itens_B!$D22="evidencia",IF(Entradas_B!J22="Sim",-Itens_B!$C22,0),0))))</f>
        <v/>
      </c>
      <c r="J24">
        <f>IF(Entradas_B!K22="N/A",0,IF(Itens_B!$D22="risco",IF(Entradas_B!K22=Itens_B!$E22,Itens_B!$C22,0),IF(Itens_B!$D22="mitigacao",IF(Entradas_B!K22="Sim",-Itens_B!$C22,Itens_B!$C22),IF(Itens_B!$D22="evidencia",IF(Entradas_B!K22="Sim",-Itens_B!$C22,0),0))))</f>
        <v/>
      </c>
      <c r="K24">
        <f>IF(Entradas_B!L22="N/A",0,IF(Itens_B!$D22="risco",IF(Entradas_B!L22=Itens_B!$E22,Itens_B!$C22,0),IF(Itens_B!$D22="mitigacao",IF(Entradas_B!L22="Sim",-Itens_B!$C22,Itens_B!$C22),IF(Itens_B!$D22="evidencia",IF(Entradas_B!L22="Sim",-Itens_B!$C22,0),0))))</f>
        <v/>
      </c>
      <c r="L24">
        <f>IF(Entradas_B!M22="N/A",0,IF(Itens_B!$D22="risco",IF(Entradas_B!M22=Itens_B!$E22,Itens_B!$C22,0),IF(Itens_B!$D22="mitigacao",IF(Entradas_B!M22="Sim",-Itens_B!$C22,Itens_B!$C22),IF(Itens_B!$D22="evidencia",IF(Entradas_B!M22="Sim",-Itens_B!$C22,0),0))))</f>
        <v/>
      </c>
      <c r="M24">
        <f>IF(Entradas_B!N22="N/A",0,IF(Itens_B!$D22="risco",IF(Entradas_B!N22=Itens_B!$E22,Itens_B!$C22,0),IF(Itens_B!$D22="mitigacao",IF(Entradas_B!N22="Sim",-Itens_B!$C22,Itens_B!$C22),IF(Itens_B!$D22="evidencia",IF(Entradas_B!N22="Sim",-Itens_B!$C22,0),0))))</f>
        <v/>
      </c>
      <c r="N24">
        <f>IF(Entradas_B!O22="N/A",0,IF(Itens_B!$D22="risco",IF(Entradas_B!O22=Itens_B!$E22,Itens_B!$C22,0),IF(Itens_B!$D22="mitigacao",IF(Entradas_B!O22="Sim",-Itens_B!$C22,Itens_B!$C22),IF(Itens_B!$D22="evidencia",IF(Entradas_B!O22="Sim",-Itens_B!$C22,0),0))))</f>
        <v/>
      </c>
      <c r="O24">
        <f>IF(Entradas_B!P22="N/A",0,IF(Itens_B!$D22="risco",IF(Entradas_B!P22=Itens_B!$E22,Itens_B!$C22,0),IF(Itens_B!$D22="mitigacao",IF(Entradas_B!P22="Sim",-Itens_B!$C22,Itens_B!$C22),IF(Itens_B!$D22="evidencia",IF(Entradas_B!P22="Sim",-Itens_B!$C22,0),0))))</f>
        <v/>
      </c>
      <c r="P24">
        <f>IF(Entradas_B!Q22="N/A",0,IF(Itens_B!$D22="risco",IF(Entradas_B!Q22=Itens_B!$E22,Itens_B!$C22,0),IF(Itens_B!$D22="mitigacao",IF(Entradas_B!Q22="Sim",-Itens_B!$C22,Itens_B!$C22),IF(Itens_B!$D22="evidencia",IF(Entradas_B!Q22="Sim",-Itens_B!$C22,0),0))))</f>
        <v/>
      </c>
      <c r="Q24">
        <f>IF(Entradas_B!R22="N/A",0,IF(Itens_B!$D22="risco",IF(Entradas_B!R22=Itens_B!$E22,Itens_B!$C22,0),IF(Itens_B!$D22="mitigacao",IF(Entradas_B!R22="Sim",-Itens_B!$C22,Itens_B!$C22),IF(Itens_B!$D22="evidencia",IF(Entradas_B!R22="Sim",-Itens_B!$C22,0),0))))</f>
        <v/>
      </c>
      <c r="R24">
        <f>IF(Entradas_B!S22="N/A",0,IF(Itens_B!$D22="risco",IF(Entradas_B!S22=Itens_B!$E22,Itens_B!$C22,0),IF(Itens_B!$D22="mitigacao",IF(Entradas_B!S22="Sim",-Itens_B!$C22,Itens_B!$C22),IF(Itens_B!$D22="evidencia",IF(Entradas_B!S22="Sim",-Itens_B!$C22,0),0))))</f>
        <v/>
      </c>
      <c r="S24">
        <f>IF(Entradas_B!T22="N/A",0,IF(Itens_B!$D22="risco",IF(Entradas_B!T22=Itens_B!$E22,Itens_B!$C22,0),IF(Itens_B!$D22="mitigacao",IF(Entradas_B!T22="Sim",-Itens_B!$C22,Itens_B!$C22),IF(Itens_B!$D22="evidencia",IF(Entradas_B!T22="Sim",-Itens_B!$C22,0),0))))</f>
        <v/>
      </c>
      <c r="T24">
        <f>IF(Entradas_B!U22="N/A",0,IF(Itens_B!$D22="risco",IF(Entradas_B!U22=Itens_B!$E22,Itens_B!$C22,0),IF(Itens_B!$D22="mitigacao",IF(Entradas_B!U22="Sim",-Itens_B!$C22,Itens_B!$C22),IF(Itens_B!$D22="evidencia",IF(Entradas_B!U22="Sim",-Itens_B!$C22,0),0))))</f>
        <v/>
      </c>
      <c r="U24">
        <f>IF(Entradas_B!V22="N/A",0,IF(Itens_B!$D22="risco",IF(Entradas_B!V22=Itens_B!$E22,Itens_B!$C22,0),IF(Itens_B!$D22="mitigacao",IF(Entradas_B!V22="Sim",-Itens_B!$C22,Itens_B!$C22),IF(Itens_B!$D22="evidencia",IF(Entradas_B!V22="Sim",-Itens_B!$C22,0),0))))</f>
        <v/>
      </c>
      <c r="V24">
        <f>IF(Entradas_B!W22="N/A",0,IF(Itens_B!$D22="risco",IF(Entradas_B!W22=Itens_B!$E22,Itens_B!$C22,0),IF(Itens_B!$D22="mitigacao",IF(Entradas_B!W22="Sim",-Itens_B!$C22,Itens_B!$C22),IF(Itens_B!$D22="evidencia",IF(Entradas_B!W22="Sim",-Itens_B!$C22,0),0))))</f>
        <v/>
      </c>
      <c r="W24">
        <f>IF(Entradas_B!X22="N/A",0,IF(Itens_B!$D22="risco",IF(Entradas_B!X22=Itens_B!$E22,Itens_B!$C22,0),IF(Itens_B!$D22="mitigacao",IF(Entradas_B!X22="Sim",-Itens_B!$C22,Itens_B!$C22),IF(Itens_B!$D22="evidencia",IF(Entradas_B!X22="Sim",-Itens_B!$C22,0),0))))</f>
        <v/>
      </c>
      <c r="X24">
        <f>IF(Entradas_B!Y22="N/A",0,IF(Itens_B!$D22="risco",IF(Entradas_B!Y22=Itens_B!$E22,Itens_B!$C22,0),IF(Itens_B!$D22="mitigacao",IF(Entradas_B!Y22="Sim",-Itens_B!$C22,Itens_B!$C22),IF(Itens_B!$D22="evidencia",IF(Entradas_B!Y22="Sim",-Itens_B!$C22,0),0))))</f>
        <v/>
      </c>
      <c r="Y24">
        <f>IF(Entradas_B!Z22="N/A",0,IF(Itens_B!$D22="risco",IF(Entradas_B!Z22=Itens_B!$E22,Itens_B!$C22,0),IF(Itens_B!$D22="mitigacao",IF(Entradas_B!Z22="Sim",-Itens_B!$C22,Itens_B!$C22),IF(Itens_B!$D22="evidencia",IF(Entradas_B!Z22="Sim",-Itens_B!$C22,0),0))))</f>
        <v/>
      </c>
      <c r="Z24">
        <f>IF(Entradas_B!AA22="N/A",0,IF(Itens_B!$D22="risco",IF(Entradas_B!AA22=Itens_B!$E22,Itens_B!$C22,0),IF(Itens_B!$D22="mitigacao",IF(Entradas_B!AA22="Sim",-Itens_B!$C22,Itens_B!$C22),IF(Itens_B!$D22="evidencia",IF(Entradas_B!AA22="Sim",-Itens_B!$C22,0),0))))</f>
        <v/>
      </c>
      <c r="AA24">
        <f>IF(Entradas_B!AB22="N/A",0,IF(Itens_B!$D22="risco",IF(Entradas_B!AB22=Itens_B!$E22,Itens_B!$C22,0),IF(Itens_B!$D22="mitigacao",IF(Entradas_B!AB22="Sim",-Itens_B!$C22,Itens_B!$C22),IF(Itens_B!$D22="evidencia",IF(Entradas_B!AB22="Sim",-Itens_B!$C22,0),0))))</f>
        <v/>
      </c>
      <c r="AB24">
        <f>IF(Entradas_B!AC22="N/A",0,IF(Itens_B!$D22="risco",IF(Entradas_B!AC22=Itens_B!$E22,Itens_B!$C22,0),IF(Itens_B!$D22="mitigacao",IF(Entradas_B!AC22="Sim",-Itens_B!$C22,Itens_B!$C22),IF(Itens_B!$D22="evidencia",IF(Entradas_B!AC22="Sim",-Itens_B!$C22,0),0))))</f>
        <v/>
      </c>
      <c r="AC24">
        <f>IF(Entradas_B!AD22="N/A",0,IF(Itens_B!$D22="risco",IF(Entradas_B!AD22=Itens_B!$E22,Itens_B!$C22,0),IF(Itens_B!$D22="mitigacao",IF(Entradas_B!AD22="Sim",-Itens_B!$C22,Itens_B!$C22),IF(Itens_B!$D22="evidencia",IF(Entradas_B!AD22="Sim",-Itens_B!$C22,0),0))))</f>
        <v/>
      </c>
      <c r="AD24">
        <f>IF(Entradas_B!AE22="N/A",0,IF(Itens_B!$D22="risco",IF(Entradas_B!AE22=Itens_B!$E22,Itens_B!$C22,0),IF(Itens_B!$D22="mitigacao",IF(Entradas_B!AE22="Sim",-Itens_B!$C22,Itens_B!$C22),IF(Itens_B!$D22="evidencia",IF(Entradas_B!AE22="Sim",-Itens_B!$C22,0),0))))</f>
        <v/>
      </c>
      <c r="AE24">
        <f>IF(Entradas_B!AF22="N/A",0,IF(Itens_B!$D22="risco",IF(Entradas_B!AF22=Itens_B!$E22,Itens_B!$C22,0),IF(Itens_B!$D22="mitigacao",IF(Entradas_B!AF22="Sim",-Itens_B!$C22,Itens_B!$C22),IF(Itens_B!$D22="evidencia",IF(Entradas_B!AF22="Sim",-Itens_B!$C22,0),0))))</f>
        <v/>
      </c>
      <c r="AF24">
        <f>IF(Entradas_B!AG22="N/A",0,IF(Itens_B!$D22="risco",IF(Entradas_B!AG22=Itens_B!$E22,Itens_B!$C22,0),IF(Itens_B!$D22="mitigacao",IF(Entradas_B!AG22="Sim",-Itens_B!$C22,Itens_B!$C22),IF(Itens_B!$D22="evidencia",IF(Entradas_B!AG22="Sim",-Itens_B!$C22,0),0))))</f>
        <v/>
      </c>
    </row>
    <row r="25">
      <c r="A25" t="inlineStr">
        <is>
          <t>P3.7</t>
        </is>
      </c>
      <c r="B25">
        <f>IF(Entradas_B!C23="N/A",0,IF(Itens_B!$D23="risco",IF(Entradas_B!C23=Itens_B!$E23,Itens_B!$C23,0),IF(Itens_B!$D23="mitigacao",IF(Entradas_B!C23="Sim",-Itens_B!$C23,Itens_B!$C23),IF(Itens_B!$D23="evidencia",IF(Entradas_B!C23="Sim",-Itens_B!$C23,0),0))))</f>
        <v/>
      </c>
      <c r="C25">
        <f>IF(Entradas_B!D23="N/A",0,IF(Itens_B!$D23="risco",IF(Entradas_B!D23=Itens_B!$E23,Itens_B!$C23,0),IF(Itens_B!$D23="mitigacao",IF(Entradas_B!D23="Sim",-Itens_B!$C23,Itens_B!$C23),IF(Itens_B!$D23="evidencia",IF(Entradas_B!D23="Sim",-Itens_B!$C23,0),0))))</f>
        <v/>
      </c>
      <c r="D25">
        <f>IF(Entradas_B!E23="N/A",0,IF(Itens_B!$D23="risco",IF(Entradas_B!E23=Itens_B!$E23,Itens_B!$C23,0),IF(Itens_B!$D23="mitigacao",IF(Entradas_B!E23="Sim",-Itens_B!$C23,Itens_B!$C23),IF(Itens_B!$D23="evidencia",IF(Entradas_B!E23="Sim",-Itens_B!$C23,0),0))))</f>
        <v/>
      </c>
      <c r="E25">
        <f>IF(Entradas_B!F23="N/A",0,IF(Itens_B!$D23="risco",IF(Entradas_B!F23=Itens_B!$E23,Itens_B!$C23,0),IF(Itens_B!$D23="mitigacao",IF(Entradas_B!F23="Sim",-Itens_B!$C23,Itens_B!$C23),IF(Itens_B!$D23="evidencia",IF(Entradas_B!F23="Sim",-Itens_B!$C23,0),0))))</f>
        <v/>
      </c>
      <c r="F25">
        <f>IF(Entradas_B!G23="N/A",0,IF(Itens_B!$D23="risco",IF(Entradas_B!G23=Itens_B!$E23,Itens_B!$C23,0),IF(Itens_B!$D23="mitigacao",IF(Entradas_B!G23="Sim",-Itens_B!$C23,Itens_B!$C23),IF(Itens_B!$D23="evidencia",IF(Entradas_B!G23="Sim",-Itens_B!$C23,0),0))))</f>
        <v/>
      </c>
      <c r="G25">
        <f>IF(Entradas_B!H23="N/A",0,IF(Itens_B!$D23="risco",IF(Entradas_B!H23=Itens_B!$E23,Itens_B!$C23,0),IF(Itens_B!$D23="mitigacao",IF(Entradas_B!H23="Sim",-Itens_B!$C23,Itens_B!$C23),IF(Itens_B!$D23="evidencia",IF(Entradas_B!H23="Sim",-Itens_B!$C23,0),0))))</f>
        <v/>
      </c>
      <c r="H25">
        <f>IF(Entradas_B!I23="N/A",0,IF(Itens_B!$D23="risco",IF(Entradas_B!I23=Itens_B!$E23,Itens_B!$C23,0),IF(Itens_B!$D23="mitigacao",IF(Entradas_B!I23="Sim",-Itens_B!$C23,Itens_B!$C23),IF(Itens_B!$D23="evidencia",IF(Entradas_B!I23="Sim",-Itens_B!$C23,0),0))))</f>
        <v/>
      </c>
      <c r="I25">
        <f>IF(Entradas_B!J23="N/A",0,IF(Itens_B!$D23="risco",IF(Entradas_B!J23=Itens_B!$E23,Itens_B!$C23,0),IF(Itens_B!$D23="mitigacao",IF(Entradas_B!J23="Sim",-Itens_B!$C23,Itens_B!$C23),IF(Itens_B!$D23="evidencia",IF(Entradas_B!J23="Sim",-Itens_B!$C23,0),0))))</f>
        <v/>
      </c>
      <c r="J25">
        <f>IF(Entradas_B!K23="N/A",0,IF(Itens_B!$D23="risco",IF(Entradas_B!K23=Itens_B!$E23,Itens_B!$C23,0),IF(Itens_B!$D23="mitigacao",IF(Entradas_B!K23="Sim",-Itens_B!$C23,Itens_B!$C23),IF(Itens_B!$D23="evidencia",IF(Entradas_B!K23="Sim",-Itens_B!$C23,0),0))))</f>
        <v/>
      </c>
      <c r="K25">
        <f>IF(Entradas_B!L23="N/A",0,IF(Itens_B!$D23="risco",IF(Entradas_B!L23=Itens_B!$E23,Itens_B!$C23,0),IF(Itens_B!$D23="mitigacao",IF(Entradas_B!L23="Sim",-Itens_B!$C23,Itens_B!$C23),IF(Itens_B!$D23="evidencia",IF(Entradas_B!L23="Sim",-Itens_B!$C23,0),0))))</f>
        <v/>
      </c>
      <c r="L25">
        <f>IF(Entradas_B!M23="N/A",0,IF(Itens_B!$D23="risco",IF(Entradas_B!M23=Itens_B!$E23,Itens_B!$C23,0),IF(Itens_B!$D23="mitigacao",IF(Entradas_B!M23="Sim",-Itens_B!$C23,Itens_B!$C23),IF(Itens_B!$D23="evidencia",IF(Entradas_B!M23="Sim",-Itens_B!$C23,0),0))))</f>
        <v/>
      </c>
      <c r="M25">
        <f>IF(Entradas_B!N23="N/A",0,IF(Itens_B!$D23="risco",IF(Entradas_B!N23=Itens_B!$E23,Itens_B!$C23,0),IF(Itens_B!$D23="mitigacao",IF(Entradas_B!N23="Sim",-Itens_B!$C23,Itens_B!$C23),IF(Itens_B!$D23="evidencia",IF(Entradas_B!N23="Sim",-Itens_B!$C23,0),0))))</f>
        <v/>
      </c>
      <c r="N25">
        <f>IF(Entradas_B!O23="N/A",0,IF(Itens_B!$D23="risco",IF(Entradas_B!O23=Itens_B!$E23,Itens_B!$C23,0),IF(Itens_B!$D23="mitigacao",IF(Entradas_B!O23="Sim",-Itens_B!$C23,Itens_B!$C23),IF(Itens_B!$D23="evidencia",IF(Entradas_B!O23="Sim",-Itens_B!$C23,0),0))))</f>
        <v/>
      </c>
      <c r="O25">
        <f>IF(Entradas_B!P23="N/A",0,IF(Itens_B!$D23="risco",IF(Entradas_B!P23=Itens_B!$E23,Itens_B!$C23,0),IF(Itens_B!$D23="mitigacao",IF(Entradas_B!P23="Sim",-Itens_B!$C23,Itens_B!$C23),IF(Itens_B!$D23="evidencia",IF(Entradas_B!P23="Sim",-Itens_B!$C23,0),0))))</f>
        <v/>
      </c>
      <c r="P25">
        <f>IF(Entradas_B!Q23="N/A",0,IF(Itens_B!$D23="risco",IF(Entradas_B!Q23=Itens_B!$E23,Itens_B!$C23,0),IF(Itens_B!$D23="mitigacao",IF(Entradas_B!Q23="Sim",-Itens_B!$C23,Itens_B!$C23),IF(Itens_B!$D23="evidencia",IF(Entradas_B!Q23="Sim",-Itens_B!$C23,0),0))))</f>
        <v/>
      </c>
      <c r="Q25">
        <f>IF(Entradas_B!R23="N/A",0,IF(Itens_B!$D23="risco",IF(Entradas_B!R23=Itens_B!$E23,Itens_B!$C23,0),IF(Itens_B!$D23="mitigacao",IF(Entradas_B!R23="Sim",-Itens_B!$C23,Itens_B!$C23),IF(Itens_B!$D23="evidencia",IF(Entradas_B!R23="Sim",-Itens_B!$C23,0),0))))</f>
        <v/>
      </c>
      <c r="R25">
        <f>IF(Entradas_B!S23="N/A",0,IF(Itens_B!$D23="risco",IF(Entradas_B!S23=Itens_B!$E23,Itens_B!$C23,0),IF(Itens_B!$D23="mitigacao",IF(Entradas_B!S23="Sim",-Itens_B!$C23,Itens_B!$C23),IF(Itens_B!$D23="evidencia",IF(Entradas_B!S23="Sim",-Itens_B!$C23,0),0))))</f>
        <v/>
      </c>
      <c r="S25">
        <f>IF(Entradas_B!T23="N/A",0,IF(Itens_B!$D23="risco",IF(Entradas_B!T23=Itens_B!$E23,Itens_B!$C23,0),IF(Itens_B!$D23="mitigacao",IF(Entradas_B!T23="Sim",-Itens_B!$C23,Itens_B!$C23),IF(Itens_B!$D23="evidencia",IF(Entradas_B!T23="Sim",-Itens_B!$C23,0),0))))</f>
        <v/>
      </c>
      <c r="T25">
        <f>IF(Entradas_B!U23="N/A",0,IF(Itens_B!$D23="risco",IF(Entradas_B!U23=Itens_B!$E23,Itens_B!$C23,0),IF(Itens_B!$D23="mitigacao",IF(Entradas_B!U23="Sim",-Itens_B!$C23,Itens_B!$C23),IF(Itens_B!$D23="evidencia",IF(Entradas_B!U23="Sim",-Itens_B!$C23,0),0))))</f>
        <v/>
      </c>
      <c r="U25">
        <f>IF(Entradas_B!V23="N/A",0,IF(Itens_B!$D23="risco",IF(Entradas_B!V23=Itens_B!$E23,Itens_B!$C23,0),IF(Itens_B!$D23="mitigacao",IF(Entradas_B!V23="Sim",-Itens_B!$C23,Itens_B!$C23),IF(Itens_B!$D23="evidencia",IF(Entradas_B!V23="Sim",-Itens_B!$C23,0),0))))</f>
        <v/>
      </c>
      <c r="V25">
        <f>IF(Entradas_B!W23="N/A",0,IF(Itens_B!$D23="risco",IF(Entradas_B!W23=Itens_B!$E23,Itens_B!$C23,0),IF(Itens_B!$D23="mitigacao",IF(Entradas_B!W23="Sim",-Itens_B!$C23,Itens_B!$C23),IF(Itens_B!$D23="evidencia",IF(Entradas_B!W23="Sim",-Itens_B!$C23,0),0))))</f>
        <v/>
      </c>
      <c r="W25">
        <f>IF(Entradas_B!X23="N/A",0,IF(Itens_B!$D23="risco",IF(Entradas_B!X23=Itens_B!$E23,Itens_B!$C23,0),IF(Itens_B!$D23="mitigacao",IF(Entradas_B!X23="Sim",-Itens_B!$C23,Itens_B!$C23),IF(Itens_B!$D23="evidencia",IF(Entradas_B!X23="Sim",-Itens_B!$C23,0),0))))</f>
        <v/>
      </c>
      <c r="X25">
        <f>IF(Entradas_B!Y23="N/A",0,IF(Itens_B!$D23="risco",IF(Entradas_B!Y23=Itens_B!$E23,Itens_B!$C23,0),IF(Itens_B!$D23="mitigacao",IF(Entradas_B!Y23="Sim",-Itens_B!$C23,Itens_B!$C23),IF(Itens_B!$D23="evidencia",IF(Entradas_B!Y23="Sim",-Itens_B!$C23,0),0))))</f>
        <v/>
      </c>
      <c r="Y25">
        <f>IF(Entradas_B!Z23="N/A",0,IF(Itens_B!$D23="risco",IF(Entradas_B!Z23=Itens_B!$E23,Itens_B!$C23,0),IF(Itens_B!$D23="mitigacao",IF(Entradas_B!Z23="Sim",-Itens_B!$C23,Itens_B!$C23),IF(Itens_B!$D23="evidencia",IF(Entradas_B!Z23="Sim",-Itens_B!$C23,0),0))))</f>
        <v/>
      </c>
      <c r="Z25">
        <f>IF(Entradas_B!AA23="N/A",0,IF(Itens_B!$D23="risco",IF(Entradas_B!AA23=Itens_B!$E23,Itens_B!$C23,0),IF(Itens_B!$D23="mitigacao",IF(Entradas_B!AA23="Sim",-Itens_B!$C23,Itens_B!$C23),IF(Itens_B!$D23="evidencia",IF(Entradas_B!AA23="Sim",-Itens_B!$C23,0),0))))</f>
        <v/>
      </c>
      <c r="AA25">
        <f>IF(Entradas_B!AB23="N/A",0,IF(Itens_B!$D23="risco",IF(Entradas_B!AB23=Itens_B!$E23,Itens_B!$C23,0),IF(Itens_B!$D23="mitigacao",IF(Entradas_B!AB23="Sim",-Itens_B!$C23,Itens_B!$C23),IF(Itens_B!$D23="evidencia",IF(Entradas_B!AB23="Sim",-Itens_B!$C23,0),0))))</f>
        <v/>
      </c>
      <c r="AB25">
        <f>IF(Entradas_B!AC23="N/A",0,IF(Itens_B!$D23="risco",IF(Entradas_B!AC23=Itens_B!$E23,Itens_B!$C23,0),IF(Itens_B!$D23="mitigacao",IF(Entradas_B!AC23="Sim",-Itens_B!$C23,Itens_B!$C23),IF(Itens_B!$D23="evidencia",IF(Entradas_B!AC23="Sim",-Itens_B!$C23,0),0))))</f>
        <v/>
      </c>
      <c r="AC25">
        <f>IF(Entradas_B!AD23="N/A",0,IF(Itens_B!$D23="risco",IF(Entradas_B!AD23=Itens_B!$E23,Itens_B!$C23,0),IF(Itens_B!$D23="mitigacao",IF(Entradas_B!AD23="Sim",-Itens_B!$C23,Itens_B!$C23),IF(Itens_B!$D23="evidencia",IF(Entradas_B!AD23="Sim",-Itens_B!$C23,0),0))))</f>
        <v/>
      </c>
      <c r="AD25">
        <f>IF(Entradas_B!AE23="N/A",0,IF(Itens_B!$D23="risco",IF(Entradas_B!AE23=Itens_B!$E23,Itens_B!$C23,0),IF(Itens_B!$D23="mitigacao",IF(Entradas_B!AE23="Sim",-Itens_B!$C23,Itens_B!$C23),IF(Itens_B!$D23="evidencia",IF(Entradas_B!AE23="Sim",-Itens_B!$C23,0),0))))</f>
        <v/>
      </c>
      <c r="AE25">
        <f>IF(Entradas_B!AF23="N/A",0,IF(Itens_B!$D23="risco",IF(Entradas_B!AF23=Itens_B!$E23,Itens_B!$C23,0),IF(Itens_B!$D23="mitigacao",IF(Entradas_B!AF23="Sim",-Itens_B!$C23,Itens_B!$C23),IF(Itens_B!$D23="evidencia",IF(Entradas_B!AF23="Sim",-Itens_B!$C23,0),0))))</f>
        <v/>
      </c>
      <c r="AF25">
        <f>IF(Entradas_B!AG23="N/A",0,IF(Itens_B!$D23="risco",IF(Entradas_B!AG23=Itens_B!$E23,Itens_B!$C23,0),IF(Itens_B!$D23="mitigacao",IF(Entradas_B!AG23="Sim",-Itens_B!$C23,Itens_B!$C23),IF(Itens_B!$D23="evidencia",IF(Entradas_B!AG23="Sim",-Itens_B!$C23,0),0))))</f>
        <v/>
      </c>
    </row>
    <row r="26">
      <c r="A26" t="inlineStr">
        <is>
          <t>P4.1</t>
        </is>
      </c>
      <c r="B26">
        <f>IF(Entradas_B!C24="N/A",0,IF(Itens_B!$D24="risco",IF(Entradas_B!C24=Itens_B!$E24,Itens_B!$C24,0),IF(Itens_B!$D24="mitigacao",IF(Entradas_B!C24="Sim",-Itens_B!$C24,Itens_B!$C24),IF(Itens_B!$D24="evidencia",IF(Entradas_B!C24="Sim",-Itens_B!$C24,0),0))))</f>
        <v/>
      </c>
      <c r="C26">
        <f>IF(Entradas_B!D24="N/A",0,IF(Itens_B!$D24="risco",IF(Entradas_B!D24=Itens_B!$E24,Itens_B!$C24,0),IF(Itens_B!$D24="mitigacao",IF(Entradas_B!D24="Sim",-Itens_B!$C24,Itens_B!$C24),IF(Itens_B!$D24="evidencia",IF(Entradas_B!D24="Sim",-Itens_B!$C24,0),0))))</f>
        <v/>
      </c>
      <c r="D26">
        <f>IF(Entradas_B!E24="N/A",0,IF(Itens_B!$D24="risco",IF(Entradas_B!E24=Itens_B!$E24,Itens_B!$C24,0),IF(Itens_B!$D24="mitigacao",IF(Entradas_B!E24="Sim",-Itens_B!$C24,Itens_B!$C24),IF(Itens_B!$D24="evidencia",IF(Entradas_B!E24="Sim",-Itens_B!$C24,0),0))))</f>
        <v/>
      </c>
      <c r="E26">
        <f>IF(Entradas_B!F24="N/A",0,IF(Itens_B!$D24="risco",IF(Entradas_B!F24=Itens_B!$E24,Itens_B!$C24,0),IF(Itens_B!$D24="mitigacao",IF(Entradas_B!F24="Sim",-Itens_B!$C24,Itens_B!$C24),IF(Itens_B!$D24="evidencia",IF(Entradas_B!F24="Sim",-Itens_B!$C24,0),0))))</f>
        <v/>
      </c>
      <c r="F26">
        <f>IF(Entradas_B!G24="N/A",0,IF(Itens_B!$D24="risco",IF(Entradas_B!G24=Itens_B!$E24,Itens_B!$C24,0),IF(Itens_B!$D24="mitigacao",IF(Entradas_B!G24="Sim",-Itens_B!$C24,Itens_B!$C24),IF(Itens_B!$D24="evidencia",IF(Entradas_B!G24="Sim",-Itens_B!$C24,0),0))))</f>
        <v/>
      </c>
      <c r="G26">
        <f>IF(Entradas_B!H24="N/A",0,IF(Itens_B!$D24="risco",IF(Entradas_B!H24=Itens_B!$E24,Itens_B!$C24,0),IF(Itens_B!$D24="mitigacao",IF(Entradas_B!H24="Sim",-Itens_B!$C24,Itens_B!$C24),IF(Itens_B!$D24="evidencia",IF(Entradas_B!H24="Sim",-Itens_B!$C24,0),0))))</f>
        <v/>
      </c>
      <c r="H26">
        <f>IF(Entradas_B!I24="N/A",0,IF(Itens_B!$D24="risco",IF(Entradas_B!I24=Itens_B!$E24,Itens_B!$C24,0),IF(Itens_B!$D24="mitigacao",IF(Entradas_B!I24="Sim",-Itens_B!$C24,Itens_B!$C24),IF(Itens_B!$D24="evidencia",IF(Entradas_B!I24="Sim",-Itens_B!$C24,0),0))))</f>
        <v/>
      </c>
      <c r="I26">
        <f>IF(Entradas_B!J24="N/A",0,IF(Itens_B!$D24="risco",IF(Entradas_B!J24=Itens_B!$E24,Itens_B!$C24,0),IF(Itens_B!$D24="mitigacao",IF(Entradas_B!J24="Sim",-Itens_B!$C24,Itens_B!$C24),IF(Itens_B!$D24="evidencia",IF(Entradas_B!J24="Sim",-Itens_B!$C24,0),0))))</f>
        <v/>
      </c>
      <c r="J26">
        <f>IF(Entradas_B!K24="N/A",0,IF(Itens_B!$D24="risco",IF(Entradas_B!K24=Itens_B!$E24,Itens_B!$C24,0),IF(Itens_B!$D24="mitigacao",IF(Entradas_B!K24="Sim",-Itens_B!$C24,Itens_B!$C24),IF(Itens_B!$D24="evidencia",IF(Entradas_B!K24="Sim",-Itens_B!$C24,0),0))))</f>
        <v/>
      </c>
      <c r="K26">
        <f>IF(Entradas_B!L24="N/A",0,IF(Itens_B!$D24="risco",IF(Entradas_B!L24=Itens_B!$E24,Itens_B!$C24,0),IF(Itens_B!$D24="mitigacao",IF(Entradas_B!L24="Sim",-Itens_B!$C24,Itens_B!$C24),IF(Itens_B!$D24="evidencia",IF(Entradas_B!L24="Sim",-Itens_B!$C24,0),0))))</f>
        <v/>
      </c>
      <c r="L26">
        <f>IF(Entradas_B!M24="N/A",0,IF(Itens_B!$D24="risco",IF(Entradas_B!M24=Itens_B!$E24,Itens_B!$C24,0),IF(Itens_B!$D24="mitigacao",IF(Entradas_B!M24="Sim",-Itens_B!$C24,Itens_B!$C24),IF(Itens_B!$D24="evidencia",IF(Entradas_B!M24="Sim",-Itens_B!$C24,0),0))))</f>
        <v/>
      </c>
      <c r="M26">
        <f>IF(Entradas_B!N24="N/A",0,IF(Itens_B!$D24="risco",IF(Entradas_B!N24=Itens_B!$E24,Itens_B!$C24,0),IF(Itens_B!$D24="mitigacao",IF(Entradas_B!N24="Sim",-Itens_B!$C24,Itens_B!$C24),IF(Itens_B!$D24="evidencia",IF(Entradas_B!N24="Sim",-Itens_B!$C24,0),0))))</f>
        <v/>
      </c>
      <c r="N26">
        <f>IF(Entradas_B!O24="N/A",0,IF(Itens_B!$D24="risco",IF(Entradas_B!O24=Itens_B!$E24,Itens_B!$C24,0),IF(Itens_B!$D24="mitigacao",IF(Entradas_B!O24="Sim",-Itens_B!$C24,Itens_B!$C24),IF(Itens_B!$D24="evidencia",IF(Entradas_B!O24="Sim",-Itens_B!$C24,0),0))))</f>
        <v/>
      </c>
      <c r="O26">
        <f>IF(Entradas_B!P24="N/A",0,IF(Itens_B!$D24="risco",IF(Entradas_B!P24=Itens_B!$E24,Itens_B!$C24,0),IF(Itens_B!$D24="mitigacao",IF(Entradas_B!P24="Sim",-Itens_B!$C24,Itens_B!$C24),IF(Itens_B!$D24="evidencia",IF(Entradas_B!P24="Sim",-Itens_B!$C24,0),0))))</f>
        <v/>
      </c>
      <c r="P26">
        <f>IF(Entradas_B!Q24="N/A",0,IF(Itens_B!$D24="risco",IF(Entradas_B!Q24=Itens_B!$E24,Itens_B!$C24,0),IF(Itens_B!$D24="mitigacao",IF(Entradas_B!Q24="Sim",-Itens_B!$C24,Itens_B!$C24),IF(Itens_B!$D24="evidencia",IF(Entradas_B!Q24="Sim",-Itens_B!$C24,0),0))))</f>
        <v/>
      </c>
      <c r="Q26">
        <f>IF(Entradas_B!R24="N/A",0,IF(Itens_B!$D24="risco",IF(Entradas_B!R24=Itens_B!$E24,Itens_B!$C24,0),IF(Itens_B!$D24="mitigacao",IF(Entradas_B!R24="Sim",-Itens_B!$C24,Itens_B!$C24),IF(Itens_B!$D24="evidencia",IF(Entradas_B!R24="Sim",-Itens_B!$C24,0),0))))</f>
        <v/>
      </c>
      <c r="R26">
        <f>IF(Entradas_B!S24="N/A",0,IF(Itens_B!$D24="risco",IF(Entradas_B!S24=Itens_B!$E24,Itens_B!$C24,0),IF(Itens_B!$D24="mitigacao",IF(Entradas_B!S24="Sim",-Itens_B!$C24,Itens_B!$C24),IF(Itens_B!$D24="evidencia",IF(Entradas_B!S24="Sim",-Itens_B!$C24,0),0))))</f>
        <v/>
      </c>
      <c r="S26">
        <f>IF(Entradas_B!T24="N/A",0,IF(Itens_B!$D24="risco",IF(Entradas_B!T24=Itens_B!$E24,Itens_B!$C24,0),IF(Itens_B!$D24="mitigacao",IF(Entradas_B!T24="Sim",-Itens_B!$C24,Itens_B!$C24),IF(Itens_B!$D24="evidencia",IF(Entradas_B!T24="Sim",-Itens_B!$C24,0),0))))</f>
        <v/>
      </c>
      <c r="T26">
        <f>IF(Entradas_B!U24="N/A",0,IF(Itens_B!$D24="risco",IF(Entradas_B!U24=Itens_B!$E24,Itens_B!$C24,0),IF(Itens_B!$D24="mitigacao",IF(Entradas_B!U24="Sim",-Itens_B!$C24,Itens_B!$C24),IF(Itens_B!$D24="evidencia",IF(Entradas_B!U24="Sim",-Itens_B!$C24,0),0))))</f>
        <v/>
      </c>
      <c r="U26">
        <f>IF(Entradas_B!V24="N/A",0,IF(Itens_B!$D24="risco",IF(Entradas_B!V24=Itens_B!$E24,Itens_B!$C24,0),IF(Itens_B!$D24="mitigacao",IF(Entradas_B!V24="Sim",-Itens_B!$C24,Itens_B!$C24),IF(Itens_B!$D24="evidencia",IF(Entradas_B!V24="Sim",-Itens_B!$C24,0),0))))</f>
        <v/>
      </c>
      <c r="V26">
        <f>IF(Entradas_B!W24="N/A",0,IF(Itens_B!$D24="risco",IF(Entradas_B!W24=Itens_B!$E24,Itens_B!$C24,0),IF(Itens_B!$D24="mitigacao",IF(Entradas_B!W24="Sim",-Itens_B!$C24,Itens_B!$C24),IF(Itens_B!$D24="evidencia",IF(Entradas_B!W24="Sim",-Itens_B!$C24,0),0))))</f>
        <v/>
      </c>
      <c r="W26">
        <f>IF(Entradas_B!X24="N/A",0,IF(Itens_B!$D24="risco",IF(Entradas_B!X24=Itens_B!$E24,Itens_B!$C24,0),IF(Itens_B!$D24="mitigacao",IF(Entradas_B!X24="Sim",-Itens_B!$C24,Itens_B!$C24),IF(Itens_B!$D24="evidencia",IF(Entradas_B!X24="Sim",-Itens_B!$C24,0),0))))</f>
        <v/>
      </c>
      <c r="X26">
        <f>IF(Entradas_B!Y24="N/A",0,IF(Itens_B!$D24="risco",IF(Entradas_B!Y24=Itens_B!$E24,Itens_B!$C24,0),IF(Itens_B!$D24="mitigacao",IF(Entradas_B!Y24="Sim",-Itens_B!$C24,Itens_B!$C24),IF(Itens_B!$D24="evidencia",IF(Entradas_B!Y24="Sim",-Itens_B!$C24,0),0))))</f>
        <v/>
      </c>
      <c r="Y26">
        <f>IF(Entradas_B!Z24="N/A",0,IF(Itens_B!$D24="risco",IF(Entradas_B!Z24=Itens_B!$E24,Itens_B!$C24,0),IF(Itens_B!$D24="mitigacao",IF(Entradas_B!Z24="Sim",-Itens_B!$C24,Itens_B!$C24),IF(Itens_B!$D24="evidencia",IF(Entradas_B!Z24="Sim",-Itens_B!$C24,0),0))))</f>
        <v/>
      </c>
      <c r="Z26">
        <f>IF(Entradas_B!AA24="N/A",0,IF(Itens_B!$D24="risco",IF(Entradas_B!AA24=Itens_B!$E24,Itens_B!$C24,0),IF(Itens_B!$D24="mitigacao",IF(Entradas_B!AA24="Sim",-Itens_B!$C24,Itens_B!$C24),IF(Itens_B!$D24="evidencia",IF(Entradas_B!AA24="Sim",-Itens_B!$C24,0),0))))</f>
        <v/>
      </c>
      <c r="AA26">
        <f>IF(Entradas_B!AB24="N/A",0,IF(Itens_B!$D24="risco",IF(Entradas_B!AB24=Itens_B!$E24,Itens_B!$C24,0),IF(Itens_B!$D24="mitigacao",IF(Entradas_B!AB24="Sim",-Itens_B!$C24,Itens_B!$C24),IF(Itens_B!$D24="evidencia",IF(Entradas_B!AB24="Sim",-Itens_B!$C24,0),0))))</f>
        <v/>
      </c>
      <c r="AB26">
        <f>IF(Entradas_B!AC24="N/A",0,IF(Itens_B!$D24="risco",IF(Entradas_B!AC24=Itens_B!$E24,Itens_B!$C24,0),IF(Itens_B!$D24="mitigacao",IF(Entradas_B!AC24="Sim",-Itens_B!$C24,Itens_B!$C24),IF(Itens_B!$D24="evidencia",IF(Entradas_B!AC24="Sim",-Itens_B!$C24,0),0))))</f>
        <v/>
      </c>
      <c r="AC26">
        <f>IF(Entradas_B!AD24="N/A",0,IF(Itens_B!$D24="risco",IF(Entradas_B!AD24=Itens_B!$E24,Itens_B!$C24,0),IF(Itens_B!$D24="mitigacao",IF(Entradas_B!AD24="Sim",-Itens_B!$C24,Itens_B!$C24),IF(Itens_B!$D24="evidencia",IF(Entradas_B!AD24="Sim",-Itens_B!$C24,0),0))))</f>
        <v/>
      </c>
      <c r="AD26">
        <f>IF(Entradas_B!AE24="N/A",0,IF(Itens_B!$D24="risco",IF(Entradas_B!AE24=Itens_B!$E24,Itens_B!$C24,0),IF(Itens_B!$D24="mitigacao",IF(Entradas_B!AE24="Sim",-Itens_B!$C24,Itens_B!$C24),IF(Itens_B!$D24="evidencia",IF(Entradas_B!AE24="Sim",-Itens_B!$C24,0),0))))</f>
        <v/>
      </c>
      <c r="AE26">
        <f>IF(Entradas_B!AF24="N/A",0,IF(Itens_B!$D24="risco",IF(Entradas_B!AF24=Itens_B!$E24,Itens_B!$C24,0),IF(Itens_B!$D24="mitigacao",IF(Entradas_B!AF24="Sim",-Itens_B!$C24,Itens_B!$C24),IF(Itens_B!$D24="evidencia",IF(Entradas_B!AF24="Sim",-Itens_B!$C24,0),0))))</f>
        <v/>
      </c>
      <c r="AF26">
        <f>IF(Entradas_B!AG24="N/A",0,IF(Itens_B!$D24="risco",IF(Entradas_B!AG24=Itens_B!$E24,Itens_B!$C24,0),IF(Itens_B!$D24="mitigacao",IF(Entradas_B!AG24="Sim",-Itens_B!$C24,Itens_B!$C24),IF(Itens_B!$D24="evidencia",IF(Entradas_B!AG24="Sim",-Itens_B!$C24,0),0))))</f>
        <v/>
      </c>
    </row>
    <row r="27">
      <c r="A27" t="inlineStr">
        <is>
          <t>P4.2</t>
        </is>
      </c>
      <c r="B27">
        <f>IF(Entradas_B!C25="N/A",0,IF(Itens_B!$D25="risco",IF(Entradas_B!C25=Itens_B!$E25,Itens_B!$C25,0),IF(Itens_B!$D25="mitigacao",IF(Entradas_B!C25="Sim",-Itens_B!$C25,Itens_B!$C25),IF(Itens_B!$D25="evidencia",IF(Entradas_B!C25="Sim",-Itens_B!$C25,0),0))))</f>
        <v/>
      </c>
      <c r="C27">
        <f>IF(Entradas_B!D25="N/A",0,IF(Itens_B!$D25="risco",IF(Entradas_B!D25=Itens_B!$E25,Itens_B!$C25,0),IF(Itens_B!$D25="mitigacao",IF(Entradas_B!D25="Sim",-Itens_B!$C25,Itens_B!$C25),IF(Itens_B!$D25="evidencia",IF(Entradas_B!D25="Sim",-Itens_B!$C25,0),0))))</f>
        <v/>
      </c>
      <c r="D27">
        <f>IF(Entradas_B!E25="N/A",0,IF(Itens_B!$D25="risco",IF(Entradas_B!E25=Itens_B!$E25,Itens_B!$C25,0),IF(Itens_B!$D25="mitigacao",IF(Entradas_B!E25="Sim",-Itens_B!$C25,Itens_B!$C25),IF(Itens_B!$D25="evidencia",IF(Entradas_B!E25="Sim",-Itens_B!$C25,0),0))))</f>
        <v/>
      </c>
      <c r="E27">
        <f>IF(Entradas_B!F25="N/A",0,IF(Itens_B!$D25="risco",IF(Entradas_B!F25=Itens_B!$E25,Itens_B!$C25,0),IF(Itens_B!$D25="mitigacao",IF(Entradas_B!F25="Sim",-Itens_B!$C25,Itens_B!$C25),IF(Itens_B!$D25="evidencia",IF(Entradas_B!F25="Sim",-Itens_B!$C25,0),0))))</f>
        <v/>
      </c>
      <c r="F27">
        <f>IF(Entradas_B!G25="N/A",0,IF(Itens_B!$D25="risco",IF(Entradas_B!G25=Itens_B!$E25,Itens_B!$C25,0),IF(Itens_B!$D25="mitigacao",IF(Entradas_B!G25="Sim",-Itens_B!$C25,Itens_B!$C25),IF(Itens_B!$D25="evidencia",IF(Entradas_B!G25="Sim",-Itens_B!$C25,0),0))))</f>
        <v/>
      </c>
      <c r="G27">
        <f>IF(Entradas_B!H25="N/A",0,IF(Itens_B!$D25="risco",IF(Entradas_B!H25=Itens_B!$E25,Itens_B!$C25,0),IF(Itens_B!$D25="mitigacao",IF(Entradas_B!H25="Sim",-Itens_B!$C25,Itens_B!$C25),IF(Itens_B!$D25="evidencia",IF(Entradas_B!H25="Sim",-Itens_B!$C25,0),0))))</f>
        <v/>
      </c>
      <c r="H27">
        <f>IF(Entradas_B!I25="N/A",0,IF(Itens_B!$D25="risco",IF(Entradas_B!I25=Itens_B!$E25,Itens_B!$C25,0),IF(Itens_B!$D25="mitigacao",IF(Entradas_B!I25="Sim",-Itens_B!$C25,Itens_B!$C25),IF(Itens_B!$D25="evidencia",IF(Entradas_B!I25="Sim",-Itens_B!$C25,0),0))))</f>
        <v/>
      </c>
      <c r="I27">
        <f>IF(Entradas_B!J25="N/A",0,IF(Itens_B!$D25="risco",IF(Entradas_B!J25=Itens_B!$E25,Itens_B!$C25,0),IF(Itens_B!$D25="mitigacao",IF(Entradas_B!J25="Sim",-Itens_B!$C25,Itens_B!$C25),IF(Itens_B!$D25="evidencia",IF(Entradas_B!J25="Sim",-Itens_B!$C25,0),0))))</f>
        <v/>
      </c>
      <c r="J27">
        <f>IF(Entradas_B!K25="N/A",0,IF(Itens_B!$D25="risco",IF(Entradas_B!K25=Itens_B!$E25,Itens_B!$C25,0),IF(Itens_B!$D25="mitigacao",IF(Entradas_B!K25="Sim",-Itens_B!$C25,Itens_B!$C25),IF(Itens_B!$D25="evidencia",IF(Entradas_B!K25="Sim",-Itens_B!$C25,0),0))))</f>
        <v/>
      </c>
      <c r="K27">
        <f>IF(Entradas_B!L25="N/A",0,IF(Itens_B!$D25="risco",IF(Entradas_B!L25=Itens_B!$E25,Itens_B!$C25,0),IF(Itens_B!$D25="mitigacao",IF(Entradas_B!L25="Sim",-Itens_B!$C25,Itens_B!$C25),IF(Itens_B!$D25="evidencia",IF(Entradas_B!L25="Sim",-Itens_B!$C25,0),0))))</f>
        <v/>
      </c>
      <c r="L27">
        <f>IF(Entradas_B!M25="N/A",0,IF(Itens_B!$D25="risco",IF(Entradas_B!M25=Itens_B!$E25,Itens_B!$C25,0),IF(Itens_B!$D25="mitigacao",IF(Entradas_B!M25="Sim",-Itens_B!$C25,Itens_B!$C25),IF(Itens_B!$D25="evidencia",IF(Entradas_B!M25="Sim",-Itens_B!$C25,0),0))))</f>
        <v/>
      </c>
      <c r="M27">
        <f>IF(Entradas_B!N25="N/A",0,IF(Itens_B!$D25="risco",IF(Entradas_B!N25=Itens_B!$E25,Itens_B!$C25,0),IF(Itens_B!$D25="mitigacao",IF(Entradas_B!N25="Sim",-Itens_B!$C25,Itens_B!$C25),IF(Itens_B!$D25="evidencia",IF(Entradas_B!N25="Sim",-Itens_B!$C25,0),0))))</f>
        <v/>
      </c>
      <c r="N27">
        <f>IF(Entradas_B!O25="N/A",0,IF(Itens_B!$D25="risco",IF(Entradas_B!O25=Itens_B!$E25,Itens_B!$C25,0),IF(Itens_B!$D25="mitigacao",IF(Entradas_B!O25="Sim",-Itens_B!$C25,Itens_B!$C25),IF(Itens_B!$D25="evidencia",IF(Entradas_B!O25="Sim",-Itens_B!$C25,0),0))))</f>
        <v/>
      </c>
      <c r="O27">
        <f>IF(Entradas_B!P25="N/A",0,IF(Itens_B!$D25="risco",IF(Entradas_B!P25=Itens_B!$E25,Itens_B!$C25,0),IF(Itens_B!$D25="mitigacao",IF(Entradas_B!P25="Sim",-Itens_B!$C25,Itens_B!$C25),IF(Itens_B!$D25="evidencia",IF(Entradas_B!P25="Sim",-Itens_B!$C25,0),0))))</f>
        <v/>
      </c>
      <c r="P27">
        <f>IF(Entradas_B!Q25="N/A",0,IF(Itens_B!$D25="risco",IF(Entradas_B!Q25=Itens_B!$E25,Itens_B!$C25,0),IF(Itens_B!$D25="mitigacao",IF(Entradas_B!Q25="Sim",-Itens_B!$C25,Itens_B!$C25),IF(Itens_B!$D25="evidencia",IF(Entradas_B!Q25="Sim",-Itens_B!$C25,0),0))))</f>
        <v/>
      </c>
      <c r="Q27">
        <f>IF(Entradas_B!R25="N/A",0,IF(Itens_B!$D25="risco",IF(Entradas_B!R25=Itens_B!$E25,Itens_B!$C25,0),IF(Itens_B!$D25="mitigacao",IF(Entradas_B!R25="Sim",-Itens_B!$C25,Itens_B!$C25),IF(Itens_B!$D25="evidencia",IF(Entradas_B!R25="Sim",-Itens_B!$C25,0),0))))</f>
        <v/>
      </c>
      <c r="R27">
        <f>IF(Entradas_B!S25="N/A",0,IF(Itens_B!$D25="risco",IF(Entradas_B!S25=Itens_B!$E25,Itens_B!$C25,0),IF(Itens_B!$D25="mitigacao",IF(Entradas_B!S25="Sim",-Itens_B!$C25,Itens_B!$C25),IF(Itens_B!$D25="evidencia",IF(Entradas_B!S25="Sim",-Itens_B!$C25,0),0))))</f>
        <v/>
      </c>
      <c r="S27">
        <f>IF(Entradas_B!T25="N/A",0,IF(Itens_B!$D25="risco",IF(Entradas_B!T25=Itens_B!$E25,Itens_B!$C25,0),IF(Itens_B!$D25="mitigacao",IF(Entradas_B!T25="Sim",-Itens_B!$C25,Itens_B!$C25),IF(Itens_B!$D25="evidencia",IF(Entradas_B!T25="Sim",-Itens_B!$C25,0),0))))</f>
        <v/>
      </c>
      <c r="T27">
        <f>IF(Entradas_B!U25="N/A",0,IF(Itens_B!$D25="risco",IF(Entradas_B!U25=Itens_B!$E25,Itens_B!$C25,0),IF(Itens_B!$D25="mitigacao",IF(Entradas_B!U25="Sim",-Itens_B!$C25,Itens_B!$C25),IF(Itens_B!$D25="evidencia",IF(Entradas_B!U25="Sim",-Itens_B!$C25,0),0))))</f>
        <v/>
      </c>
      <c r="U27">
        <f>IF(Entradas_B!V25="N/A",0,IF(Itens_B!$D25="risco",IF(Entradas_B!V25=Itens_B!$E25,Itens_B!$C25,0),IF(Itens_B!$D25="mitigacao",IF(Entradas_B!V25="Sim",-Itens_B!$C25,Itens_B!$C25),IF(Itens_B!$D25="evidencia",IF(Entradas_B!V25="Sim",-Itens_B!$C25,0),0))))</f>
        <v/>
      </c>
      <c r="V27">
        <f>IF(Entradas_B!W25="N/A",0,IF(Itens_B!$D25="risco",IF(Entradas_B!W25=Itens_B!$E25,Itens_B!$C25,0),IF(Itens_B!$D25="mitigacao",IF(Entradas_B!W25="Sim",-Itens_B!$C25,Itens_B!$C25),IF(Itens_B!$D25="evidencia",IF(Entradas_B!W25="Sim",-Itens_B!$C25,0),0))))</f>
        <v/>
      </c>
      <c r="W27">
        <f>IF(Entradas_B!X25="N/A",0,IF(Itens_B!$D25="risco",IF(Entradas_B!X25=Itens_B!$E25,Itens_B!$C25,0),IF(Itens_B!$D25="mitigacao",IF(Entradas_B!X25="Sim",-Itens_B!$C25,Itens_B!$C25),IF(Itens_B!$D25="evidencia",IF(Entradas_B!X25="Sim",-Itens_B!$C25,0),0))))</f>
        <v/>
      </c>
      <c r="X27">
        <f>IF(Entradas_B!Y25="N/A",0,IF(Itens_B!$D25="risco",IF(Entradas_B!Y25=Itens_B!$E25,Itens_B!$C25,0),IF(Itens_B!$D25="mitigacao",IF(Entradas_B!Y25="Sim",-Itens_B!$C25,Itens_B!$C25),IF(Itens_B!$D25="evidencia",IF(Entradas_B!Y25="Sim",-Itens_B!$C25,0),0))))</f>
        <v/>
      </c>
      <c r="Y27">
        <f>IF(Entradas_B!Z25="N/A",0,IF(Itens_B!$D25="risco",IF(Entradas_B!Z25=Itens_B!$E25,Itens_B!$C25,0),IF(Itens_B!$D25="mitigacao",IF(Entradas_B!Z25="Sim",-Itens_B!$C25,Itens_B!$C25),IF(Itens_B!$D25="evidencia",IF(Entradas_B!Z25="Sim",-Itens_B!$C25,0),0))))</f>
        <v/>
      </c>
      <c r="Z27">
        <f>IF(Entradas_B!AA25="N/A",0,IF(Itens_B!$D25="risco",IF(Entradas_B!AA25=Itens_B!$E25,Itens_B!$C25,0),IF(Itens_B!$D25="mitigacao",IF(Entradas_B!AA25="Sim",-Itens_B!$C25,Itens_B!$C25),IF(Itens_B!$D25="evidencia",IF(Entradas_B!AA25="Sim",-Itens_B!$C25,0),0))))</f>
        <v/>
      </c>
      <c r="AA27">
        <f>IF(Entradas_B!AB25="N/A",0,IF(Itens_B!$D25="risco",IF(Entradas_B!AB25=Itens_B!$E25,Itens_B!$C25,0),IF(Itens_B!$D25="mitigacao",IF(Entradas_B!AB25="Sim",-Itens_B!$C25,Itens_B!$C25),IF(Itens_B!$D25="evidencia",IF(Entradas_B!AB25="Sim",-Itens_B!$C25,0),0))))</f>
        <v/>
      </c>
      <c r="AB27">
        <f>IF(Entradas_B!AC25="N/A",0,IF(Itens_B!$D25="risco",IF(Entradas_B!AC25=Itens_B!$E25,Itens_B!$C25,0),IF(Itens_B!$D25="mitigacao",IF(Entradas_B!AC25="Sim",-Itens_B!$C25,Itens_B!$C25),IF(Itens_B!$D25="evidencia",IF(Entradas_B!AC25="Sim",-Itens_B!$C25,0),0))))</f>
        <v/>
      </c>
      <c r="AC27">
        <f>IF(Entradas_B!AD25="N/A",0,IF(Itens_B!$D25="risco",IF(Entradas_B!AD25=Itens_B!$E25,Itens_B!$C25,0),IF(Itens_B!$D25="mitigacao",IF(Entradas_B!AD25="Sim",-Itens_B!$C25,Itens_B!$C25),IF(Itens_B!$D25="evidencia",IF(Entradas_B!AD25="Sim",-Itens_B!$C25,0),0))))</f>
        <v/>
      </c>
      <c r="AD27">
        <f>IF(Entradas_B!AE25="N/A",0,IF(Itens_B!$D25="risco",IF(Entradas_B!AE25=Itens_B!$E25,Itens_B!$C25,0),IF(Itens_B!$D25="mitigacao",IF(Entradas_B!AE25="Sim",-Itens_B!$C25,Itens_B!$C25),IF(Itens_B!$D25="evidencia",IF(Entradas_B!AE25="Sim",-Itens_B!$C25,0),0))))</f>
        <v/>
      </c>
      <c r="AE27">
        <f>IF(Entradas_B!AF25="N/A",0,IF(Itens_B!$D25="risco",IF(Entradas_B!AF25=Itens_B!$E25,Itens_B!$C25,0),IF(Itens_B!$D25="mitigacao",IF(Entradas_B!AF25="Sim",-Itens_B!$C25,Itens_B!$C25),IF(Itens_B!$D25="evidencia",IF(Entradas_B!AF25="Sim",-Itens_B!$C25,0),0))))</f>
        <v/>
      </c>
      <c r="AF27">
        <f>IF(Entradas_B!AG25="N/A",0,IF(Itens_B!$D25="risco",IF(Entradas_B!AG25=Itens_B!$E25,Itens_B!$C25,0),IF(Itens_B!$D25="mitigacao",IF(Entradas_B!AG25="Sim",-Itens_B!$C25,Itens_B!$C25),IF(Itens_B!$D25="evidencia",IF(Entradas_B!AG25="Sim",-Itens_B!$C25,0),0))))</f>
        <v/>
      </c>
    </row>
    <row r="28">
      <c r="A28" t="inlineStr">
        <is>
          <t>P4.3</t>
        </is>
      </c>
      <c r="B28">
        <f>IF(Entradas_B!C26="N/A",0,IF(Itens_B!$D26="risco",IF(Entradas_B!C26=Itens_B!$E26,Itens_B!$C26,0),IF(Itens_B!$D26="mitigacao",IF(Entradas_B!C26="Sim",-Itens_B!$C26,Itens_B!$C26),IF(Itens_B!$D26="evidencia",IF(Entradas_B!C26="Sim",-Itens_B!$C26,0),0))))</f>
        <v/>
      </c>
      <c r="C28">
        <f>IF(Entradas_B!D26="N/A",0,IF(Itens_B!$D26="risco",IF(Entradas_B!D26=Itens_B!$E26,Itens_B!$C26,0),IF(Itens_B!$D26="mitigacao",IF(Entradas_B!D26="Sim",-Itens_B!$C26,Itens_B!$C26),IF(Itens_B!$D26="evidencia",IF(Entradas_B!D26="Sim",-Itens_B!$C26,0),0))))</f>
        <v/>
      </c>
      <c r="D28">
        <f>IF(Entradas_B!E26="N/A",0,IF(Itens_B!$D26="risco",IF(Entradas_B!E26=Itens_B!$E26,Itens_B!$C26,0),IF(Itens_B!$D26="mitigacao",IF(Entradas_B!E26="Sim",-Itens_B!$C26,Itens_B!$C26),IF(Itens_B!$D26="evidencia",IF(Entradas_B!E26="Sim",-Itens_B!$C26,0),0))))</f>
        <v/>
      </c>
      <c r="E28">
        <f>IF(Entradas_B!F26="N/A",0,IF(Itens_B!$D26="risco",IF(Entradas_B!F26=Itens_B!$E26,Itens_B!$C26,0),IF(Itens_B!$D26="mitigacao",IF(Entradas_B!F26="Sim",-Itens_B!$C26,Itens_B!$C26),IF(Itens_B!$D26="evidencia",IF(Entradas_B!F26="Sim",-Itens_B!$C26,0),0))))</f>
        <v/>
      </c>
      <c r="F28">
        <f>IF(Entradas_B!G26="N/A",0,IF(Itens_B!$D26="risco",IF(Entradas_B!G26=Itens_B!$E26,Itens_B!$C26,0),IF(Itens_B!$D26="mitigacao",IF(Entradas_B!G26="Sim",-Itens_B!$C26,Itens_B!$C26),IF(Itens_B!$D26="evidencia",IF(Entradas_B!G26="Sim",-Itens_B!$C26,0),0))))</f>
        <v/>
      </c>
      <c r="G28">
        <f>IF(Entradas_B!H26="N/A",0,IF(Itens_B!$D26="risco",IF(Entradas_B!H26=Itens_B!$E26,Itens_B!$C26,0),IF(Itens_B!$D26="mitigacao",IF(Entradas_B!H26="Sim",-Itens_B!$C26,Itens_B!$C26),IF(Itens_B!$D26="evidencia",IF(Entradas_B!H26="Sim",-Itens_B!$C26,0),0))))</f>
        <v/>
      </c>
      <c r="H28">
        <f>IF(Entradas_B!I26="N/A",0,IF(Itens_B!$D26="risco",IF(Entradas_B!I26=Itens_B!$E26,Itens_B!$C26,0),IF(Itens_B!$D26="mitigacao",IF(Entradas_B!I26="Sim",-Itens_B!$C26,Itens_B!$C26),IF(Itens_B!$D26="evidencia",IF(Entradas_B!I26="Sim",-Itens_B!$C26,0),0))))</f>
        <v/>
      </c>
      <c r="I28">
        <f>IF(Entradas_B!J26="N/A",0,IF(Itens_B!$D26="risco",IF(Entradas_B!J26=Itens_B!$E26,Itens_B!$C26,0),IF(Itens_B!$D26="mitigacao",IF(Entradas_B!J26="Sim",-Itens_B!$C26,Itens_B!$C26),IF(Itens_B!$D26="evidencia",IF(Entradas_B!J26="Sim",-Itens_B!$C26,0),0))))</f>
        <v/>
      </c>
      <c r="J28">
        <f>IF(Entradas_B!K26="N/A",0,IF(Itens_B!$D26="risco",IF(Entradas_B!K26=Itens_B!$E26,Itens_B!$C26,0),IF(Itens_B!$D26="mitigacao",IF(Entradas_B!K26="Sim",-Itens_B!$C26,Itens_B!$C26),IF(Itens_B!$D26="evidencia",IF(Entradas_B!K26="Sim",-Itens_B!$C26,0),0))))</f>
        <v/>
      </c>
      <c r="K28">
        <f>IF(Entradas_B!L26="N/A",0,IF(Itens_B!$D26="risco",IF(Entradas_B!L26=Itens_B!$E26,Itens_B!$C26,0),IF(Itens_B!$D26="mitigacao",IF(Entradas_B!L26="Sim",-Itens_B!$C26,Itens_B!$C26),IF(Itens_B!$D26="evidencia",IF(Entradas_B!L26="Sim",-Itens_B!$C26,0),0))))</f>
        <v/>
      </c>
      <c r="L28">
        <f>IF(Entradas_B!M26="N/A",0,IF(Itens_B!$D26="risco",IF(Entradas_B!M26=Itens_B!$E26,Itens_B!$C26,0),IF(Itens_B!$D26="mitigacao",IF(Entradas_B!M26="Sim",-Itens_B!$C26,Itens_B!$C26),IF(Itens_B!$D26="evidencia",IF(Entradas_B!M26="Sim",-Itens_B!$C26,0),0))))</f>
        <v/>
      </c>
      <c r="M28">
        <f>IF(Entradas_B!N26="N/A",0,IF(Itens_B!$D26="risco",IF(Entradas_B!N26=Itens_B!$E26,Itens_B!$C26,0),IF(Itens_B!$D26="mitigacao",IF(Entradas_B!N26="Sim",-Itens_B!$C26,Itens_B!$C26),IF(Itens_B!$D26="evidencia",IF(Entradas_B!N26="Sim",-Itens_B!$C26,0),0))))</f>
        <v/>
      </c>
      <c r="N28">
        <f>IF(Entradas_B!O26="N/A",0,IF(Itens_B!$D26="risco",IF(Entradas_B!O26=Itens_B!$E26,Itens_B!$C26,0),IF(Itens_B!$D26="mitigacao",IF(Entradas_B!O26="Sim",-Itens_B!$C26,Itens_B!$C26),IF(Itens_B!$D26="evidencia",IF(Entradas_B!O26="Sim",-Itens_B!$C26,0),0))))</f>
        <v/>
      </c>
      <c r="O28">
        <f>IF(Entradas_B!P26="N/A",0,IF(Itens_B!$D26="risco",IF(Entradas_B!P26=Itens_B!$E26,Itens_B!$C26,0),IF(Itens_B!$D26="mitigacao",IF(Entradas_B!P26="Sim",-Itens_B!$C26,Itens_B!$C26),IF(Itens_B!$D26="evidencia",IF(Entradas_B!P26="Sim",-Itens_B!$C26,0),0))))</f>
        <v/>
      </c>
      <c r="P28">
        <f>IF(Entradas_B!Q26="N/A",0,IF(Itens_B!$D26="risco",IF(Entradas_B!Q26=Itens_B!$E26,Itens_B!$C26,0),IF(Itens_B!$D26="mitigacao",IF(Entradas_B!Q26="Sim",-Itens_B!$C26,Itens_B!$C26),IF(Itens_B!$D26="evidencia",IF(Entradas_B!Q26="Sim",-Itens_B!$C26,0),0))))</f>
        <v/>
      </c>
      <c r="Q28">
        <f>IF(Entradas_B!R26="N/A",0,IF(Itens_B!$D26="risco",IF(Entradas_B!R26=Itens_B!$E26,Itens_B!$C26,0),IF(Itens_B!$D26="mitigacao",IF(Entradas_B!R26="Sim",-Itens_B!$C26,Itens_B!$C26),IF(Itens_B!$D26="evidencia",IF(Entradas_B!R26="Sim",-Itens_B!$C26,0),0))))</f>
        <v/>
      </c>
      <c r="R28">
        <f>IF(Entradas_B!S26="N/A",0,IF(Itens_B!$D26="risco",IF(Entradas_B!S26=Itens_B!$E26,Itens_B!$C26,0),IF(Itens_B!$D26="mitigacao",IF(Entradas_B!S26="Sim",-Itens_B!$C26,Itens_B!$C26),IF(Itens_B!$D26="evidencia",IF(Entradas_B!S26="Sim",-Itens_B!$C26,0),0))))</f>
        <v/>
      </c>
      <c r="S28">
        <f>IF(Entradas_B!T26="N/A",0,IF(Itens_B!$D26="risco",IF(Entradas_B!T26=Itens_B!$E26,Itens_B!$C26,0),IF(Itens_B!$D26="mitigacao",IF(Entradas_B!T26="Sim",-Itens_B!$C26,Itens_B!$C26),IF(Itens_B!$D26="evidencia",IF(Entradas_B!T26="Sim",-Itens_B!$C26,0),0))))</f>
        <v/>
      </c>
      <c r="T28">
        <f>IF(Entradas_B!U26="N/A",0,IF(Itens_B!$D26="risco",IF(Entradas_B!U26=Itens_B!$E26,Itens_B!$C26,0),IF(Itens_B!$D26="mitigacao",IF(Entradas_B!U26="Sim",-Itens_B!$C26,Itens_B!$C26),IF(Itens_B!$D26="evidencia",IF(Entradas_B!U26="Sim",-Itens_B!$C26,0),0))))</f>
        <v/>
      </c>
      <c r="U28">
        <f>IF(Entradas_B!V26="N/A",0,IF(Itens_B!$D26="risco",IF(Entradas_B!V26=Itens_B!$E26,Itens_B!$C26,0),IF(Itens_B!$D26="mitigacao",IF(Entradas_B!V26="Sim",-Itens_B!$C26,Itens_B!$C26),IF(Itens_B!$D26="evidencia",IF(Entradas_B!V26="Sim",-Itens_B!$C26,0),0))))</f>
        <v/>
      </c>
      <c r="V28">
        <f>IF(Entradas_B!W26="N/A",0,IF(Itens_B!$D26="risco",IF(Entradas_B!W26=Itens_B!$E26,Itens_B!$C26,0),IF(Itens_B!$D26="mitigacao",IF(Entradas_B!W26="Sim",-Itens_B!$C26,Itens_B!$C26),IF(Itens_B!$D26="evidencia",IF(Entradas_B!W26="Sim",-Itens_B!$C26,0),0))))</f>
        <v/>
      </c>
      <c r="W28">
        <f>IF(Entradas_B!X26="N/A",0,IF(Itens_B!$D26="risco",IF(Entradas_B!X26=Itens_B!$E26,Itens_B!$C26,0),IF(Itens_B!$D26="mitigacao",IF(Entradas_B!X26="Sim",-Itens_B!$C26,Itens_B!$C26),IF(Itens_B!$D26="evidencia",IF(Entradas_B!X26="Sim",-Itens_B!$C26,0),0))))</f>
        <v/>
      </c>
      <c r="X28">
        <f>IF(Entradas_B!Y26="N/A",0,IF(Itens_B!$D26="risco",IF(Entradas_B!Y26=Itens_B!$E26,Itens_B!$C26,0),IF(Itens_B!$D26="mitigacao",IF(Entradas_B!Y26="Sim",-Itens_B!$C26,Itens_B!$C26),IF(Itens_B!$D26="evidencia",IF(Entradas_B!Y26="Sim",-Itens_B!$C26,0),0))))</f>
        <v/>
      </c>
      <c r="Y28">
        <f>IF(Entradas_B!Z26="N/A",0,IF(Itens_B!$D26="risco",IF(Entradas_B!Z26=Itens_B!$E26,Itens_B!$C26,0),IF(Itens_B!$D26="mitigacao",IF(Entradas_B!Z26="Sim",-Itens_B!$C26,Itens_B!$C26),IF(Itens_B!$D26="evidencia",IF(Entradas_B!Z26="Sim",-Itens_B!$C26,0),0))))</f>
        <v/>
      </c>
      <c r="Z28">
        <f>IF(Entradas_B!AA26="N/A",0,IF(Itens_B!$D26="risco",IF(Entradas_B!AA26=Itens_B!$E26,Itens_B!$C26,0),IF(Itens_B!$D26="mitigacao",IF(Entradas_B!AA26="Sim",-Itens_B!$C26,Itens_B!$C26),IF(Itens_B!$D26="evidencia",IF(Entradas_B!AA26="Sim",-Itens_B!$C26,0),0))))</f>
        <v/>
      </c>
      <c r="AA28">
        <f>IF(Entradas_B!AB26="N/A",0,IF(Itens_B!$D26="risco",IF(Entradas_B!AB26=Itens_B!$E26,Itens_B!$C26,0),IF(Itens_B!$D26="mitigacao",IF(Entradas_B!AB26="Sim",-Itens_B!$C26,Itens_B!$C26),IF(Itens_B!$D26="evidencia",IF(Entradas_B!AB26="Sim",-Itens_B!$C26,0),0))))</f>
        <v/>
      </c>
      <c r="AB28">
        <f>IF(Entradas_B!AC26="N/A",0,IF(Itens_B!$D26="risco",IF(Entradas_B!AC26=Itens_B!$E26,Itens_B!$C26,0),IF(Itens_B!$D26="mitigacao",IF(Entradas_B!AC26="Sim",-Itens_B!$C26,Itens_B!$C26),IF(Itens_B!$D26="evidencia",IF(Entradas_B!AC26="Sim",-Itens_B!$C26,0),0))))</f>
        <v/>
      </c>
      <c r="AC28">
        <f>IF(Entradas_B!AD26="N/A",0,IF(Itens_B!$D26="risco",IF(Entradas_B!AD26=Itens_B!$E26,Itens_B!$C26,0),IF(Itens_B!$D26="mitigacao",IF(Entradas_B!AD26="Sim",-Itens_B!$C26,Itens_B!$C26),IF(Itens_B!$D26="evidencia",IF(Entradas_B!AD26="Sim",-Itens_B!$C26,0),0))))</f>
        <v/>
      </c>
      <c r="AD28">
        <f>IF(Entradas_B!AE26="N/A",0,IF(Itens_B!$D26="risco",IF(Entradas_B!AE26=Itens_B!$E26,Itens_B!$C26,0),IF(Itens_B!$D26="mitigacao",IF(Entradas_B!AE26="Sim",-Itens_B!$C26,Itens_B!$C26),IF(Itens_B!$D26="evidencia",IF(Entradas_B!AE26="Sim",-Itens_B!$C26,0),0))))</f>
        <v/>
      </c>
      <c r="AE28">
        <f>IF(Entradas_B!AF26="N/A",0,IF(Itens_B!$D26="risco",IF(Entradas_B!AF26=Itens_B!$E26,Itens_B!$C26,0),IF(Itens_B!$D26="mitigacao",IF(Entradas_B!AF26="Sim",-Itens_B!$C26,Itens_B!$C26),IF(Itens_B!$D26="evidencia",IF(Entradas_B!AF26="Sim",-Itens_B!$C26,0),0))))</f>
        <v/>
      </c>
      <c r="AF28">
        <f>IF(Entradas_B!AG26="N/A",0,IF(Itens_B!$D26="risco",IF(Entradas_B!AG26=Itens_B!$E26,Itens_B!$C26,0),IF(Itens_B!$D26="mitigacao",IF(Entradas_B!AG26="Sim",-Itens_B!$C26,Itens_B!$C26),IF(Itens_B!$D26="evidencia",IF(Entradas_B!AG26="Sim",-Itens_B!$C26,0),0))))</f>
        <v/>
      </c>
    </row>
    <row r="29">
      <c r="A29" t="inlineStr">
        <is>
          <t>P5.1</t>
        </is>
      </c>
      <c r="B29">
        <f>IF(Entradas_B!C27="N/A",0,IF(Itens_B!$D27="risco",IF(Entradas_B!C27=Itens_B!$E27,Itens_B!$C27,0),IF(Itens_B!$D27="mitigacao",IF(Entradas_B!C27="Sim",-Itens_B!$C27,Itens_B!$C27),IF(Itens_B!$D27="evidencia",IF(Entradas_B!C27="Sim",-Itens_B!$C27,0),0))))</f>
        <v/>
      </c>
      <c r="C29">
        <f>IF(Entradas_B!D27="N/A",0,IF(Itens_B!$D27="risco",IF(Entradas_B!D27=Itens_B!$E27,Itens_B!$C27,0),IF(Itens_B!$D27="mitigacao",IF(Entradas_B!D27="Sim",-Itens_B!$C27,Itens_B!$C27),IF(Itens_B!$D27="evidencia",IF(Entradas_B!D27="Sim",-Itens_B!$C27,0),0))))</f>
        <v/>
      </c>
      <c r="D29">
        <f>IF(Entradas_B!E27="N/A",0,IF(Itens_B!$D27="risco",IF(Entradas_B!E27=Itens_B!$E27,Itens_B!$C27,0),IF(Itens_B!$D27="mitigacao",IF(Entradas_B!E27="Sim",-Itens_B!$C27,Itens_B!$C27),IF(Itens_B!$D27="evidencia",IF(Entradas_B!E27="Sim",-Itens_B!$C27,0),0))))</f>
        <v/>
      </c>
      <c r="E29">
        <f>IF(Entradas_B!F27="N/A",0,IF(Itens_B!$D27="risco",IF(Entradas_B!F27=Itens_B!$E27,Itens_B!$C27,0),IF(Itens_B!$D27="mitigacao",IF(Entradas_B!F27="Sim",-Itens_B!$C27,Itens_B!$C27),IF(Itens_B!$D27="evidencia",IF(Entradas_B!F27="Sim",-Itens_B!$C27,0),0))))</f>
        <v/>
      </c>
      <c r="F29">
        <f>IF(Entradas_B!G27="N/A",0,IF(Itens_B!$D27="risco",IF(Entradas_B!G27=Itens_B!$E27,Itens_B!$C27,0),IF(Itens_B!$D27="mitigacao",IF(Entradas_B!G27="Sim",-Itens_B!$C27,Itens_B!$C27),IF(Itens_B!$D27="evidencia",IF(Entradas_B!G27="Sim",-Itens_B!$C27,0),0))))</f>
        <v/>
      </c>
      <c r="G29">
        <f>IF(Entradas_B!H27="N/A",0,IF(Itens_B!$D27="risco",IF(Entradas_B!H27=Itens_B!$E27,Itens_B!$C27,0),IF(Itens_B!$D27="mitigacao",IF(Entradas_B!H27="Sim",-Itens_B!$C27,Itens_B!$C27),IF(Itens_B!$D27="evidencia",IF(Entradas_B!H27="Sim",-Itens_B!$C27,0),0))))</f>
        <v/>
      </c>
      <c r="H29">
        <f>IF(Entradas_B!I27="N/A",0,IF(Itens_B!$D27="risco",IF(Entradas_B!I27=Itens_B!$E27,Itens_B!$C27,0),IF(Itens_B!$D27="mitigacao",IF(Entradas_B!I27="Sim",-Itens_B!$C27,Itens_B!$C27),IF(Itens_B!$D27="evidencia",IF(Entradas_B!I27="Sim",-Itens_B!$C27,0),0))))</f>
        <v/>
      </c>
      <c r="I29">
        <f>IF(Entradas_B!J27="N/A",0,IF(Itens_B!$D27="risco",IF(Entradas_B!J27=Itens_B!$E27,Itens_B!$C27,0),IF(Itens_B!$D27="mitigacao",IF(Entradas_B!J27="Sim",-Itens_B!$C27,Itens_B!$C27),IF(Itens_B!$D27="evidencia",IF(Entradas_B!J27="Sim",-Itens_B!$C27,0),0))))</f>
        <v/>
      </c>
      <c r="J29">
        <f>IF(Entradas_B!K27="N/A",0,IF(Itens_B!$D27="risco",IF(Entradas_B!K27=Itens_B!$E27,Itens_B!$C27,0),IF(Itens_B!$D27="mitigacao",IF(Entradas_B!K27="Sim",-Itens_B!$C27,Itens_B!$C27),IF(Itens_B!$D27="evidencia",IF(Entradas_B!K27="Sim",-Itens_B!$C27,0),0))))</f>
        <v/>
      </c>
      <c r="K29">
        <f>IF(Entradas_B!L27="N/A",0,IF(Itens_B!$D27="risco",IF(Entradas_B!L27=Itens_B!$E27,Itens_B!$C27,0),IF(Itens_B!$D27="mitigacao",IF(Entradas_B!L27="Sim",-Itens_B!$C27,Itens_B!$C27),IF(Itens_B!$D27="evidencia",IF(Entradas_B!L27="Sim",-Itens_B!$C27,0),0))))</f>
        <v/>
      </c>
      <c r="L29">
        <f>IF(Entradas_B!M27="N/A",0,IF(Itens_B!$D27="risco",IF(Entradas_B!M27=Itens_B!$E27,Itens_B!$C27,0),IF(Itens_B!$D27="mitigacao",IF(Entradas_B!M27="Sim",-Itens_B!$C27,Itens_B!$C27),IF(Itens_B!$D27="evidencia",IF(Entradas_B!M27="Sim",-Itens_B!$C27,0),0))))</f>
        <v/>
      </c>
      <c r="M29">
        <f>IF(Entradas_B!N27="N/A",0,IF(Itens_B!$D27="risco",IF(Entradas_B!N27=Itens_B!$E27,Itens_B!$C27,0),IF(Itens_B!$D27="mitigacao",IF(Entradas_B!N27="Sim",-Itens_B!$C27,Itens_B!$C27),IF(Itens_B!$D27="evidencia",IF(Entradas_B!N27="Sim",-Itens_B!$C27,0),0))))</f>
        <v/>
      </c>
      <c r="N29">
        <f>IF(Entradas_B!O27="N/A",0,IF(Itens_B!$D27="risco",IF(Entradas_B!O27=Itens_B!$E27,Itens_B!$C27,0),IF(Itens_B!$D27="mitigacao",IF(Entradas_B!O27="Sim",-Itens_B!$C27,Itens_B!$C27),IF(Itens_B!$D27="evidencia",IF(Entradas_B!O27="Sim",-Itens_B!$C27,0),0))))</f>
        <v/>
      </c>
      <c r="O29">
        <f>IF(Entradas_B!P27="N/A",0,IF(Itens_B!$D27="risco",IF(Entradas_B!P27=Itens_B!$E27,Itens_B!$C27,0),IF(Itens_B!$D27="mitigacao",IF(Entradas_B!P27="Sim",-Itens_B!$C27,Itens_B!$C27),IF(Itens_B!$D27="evidencia",IF(Entradas_B!P27="Sim",-Itens_B!$C27,0),0))))</f>
        <v/>
      </c>
      <c r="P29">
        <f>IF(Entradas_B!Q27="N/A",0,IF(Itens_B!$D27="risco",IF(Entradas_B!Q27=Itens_B!$E27,Itens_B!$C27,0),IF(Itens_B!$D27="mitigacao",IF(Entradas_B!Q27="Sim",-Itens_B!$C27,Itens_B!$C27),IF(Itens_B!$D27="evidencia",IF(Entradas_B!Q27="Sim",-Itens_B!$C27,0),0))))</f>
        <v/>
      </c>
      <c r="Q29">
        <f>IF(Entradas_B!R27="N/A",0,IF(Itens_B!$D27="risco",IF(Entradas_B!R27=Itens_B!$E27,Itens_B!$C27,0),IF(Itens_B!$D27="mitigacao",IF(Entradas_B!R27="Sim",-Itens_B!$C27,Itens_B!$C27),IF(Itens_B!$D27="evidencia",IF(Entradas_B!R27="Sim",-Itens_B!$C27,0),0))))</f>
        <v/>
      </c>
      <c r="R29">
        <f>IF(Entradas_B!S27="N/A",0,IF(Itens_B!$D27="risco",IF(Entradas_B!S27=Itens_B!$E27,Itens_B!$C27,0),IF(Itens_B!$D27="mitigacao",IF(Entradas_B!S27="Sim",-Itens_B!$C27,Itens_B!$C27),IF(Itens_B!$D27="evidencia",IF(Entradas_B!S27="Sim",-Itens_B!$C27,0),0))))</f>
        <v/>
      </c>
      <c r="S29">
        <f>IF(Entradas_B!T27="N/A",0,IF(Itens_B!$D27="risco",IF(Entradas_B!T27=Itens_B!$E27,Itens_B!$C27,0),IF(Itens_B!$D27="mitigacao",IF(Entradas_B!T27="Sim",-Itens_B!$C27,Itens_B!$C27),IF(Itens_B!$D27="evidencia",IF(Entradas_B!T27="Sim",-Itens_B!$C27,0),0))))</f>
        <v/>
      </c>
      <c r="T29">
        <f>IF(Entradas_B!U27="N/A",0,IF(Itens_B!$D27="risco",IF(Entradas_B!U27=Itens_B!$E27,Itens_B!$C27,0),IF(Itens_B!$D27="mitigacao",IF(Entradas_B!U27="Sim",-Itens_B!$C27,Itens_B!$C27),IF(Itens_B!$D27="evidencia",IF(Entradas_B!U27="Sim",-Itens_B!$C27,0),0))))</f>
        <v/>
      </c>
      <c r="U29">
        <f>IF(Entradas_B!V27="N/A",0,IF(Itens_B!$D27="risco",IF(Entradas_B!V27=Itens_B!$E27,Itens_B!$C27,0),IF(Itens_B!$D27="mitigacao",IF(Entradas_B!V27="Sim",-Itens_B!$C27,Itens_B!$C27),IF(Itens_B!$D27="evidencia",IF(Entradas_B!V27="Sim",-Itens_B!$C27,0),0))))</f>
        <v/>
      </c>
      <c r="V29">
        <f>IF(Entradas_B!W27="N/A",0,IF(Itens_B!$D27="risco",IF(Entradas_B!W27=Itens_B!$E27,Itens_B!$C27,0),IF(Itens_B!$D27="mitigacao",IF(Entradas_B!W27="Sim",-Itens_B!$C27,Itens_B!$C27),IF(Itens_B!$D27="evidencia",IF(Entradas_B!W27="Sim",-Itens_B!$C27,0),0))))</f>
        <v/>
      </c>
      <c r="W29">
        <f>IF(Entradas_B!X27="N/A",0,IF(Itens_B!$D27="risco",IF(Entradas_B!X27=Itens_B!$E27,Itens_B!$C27,0),IF(Itens_B!$D27="mitigacao",IF(Entradas_B!X27="Sim",-Itens_B!$C27,Itens_B!$C27),IF(Itens_B!$D27="evidencia",IF(Entradas_B!X27="Sim",-Itens_B!$C27,0),0))))</f>
        <v/>
      </c>
      <c r="X29">
        <f>IF(Entradas_B!Y27="N/A",0,IF(Itens_B!$D27="risco",IF(Entradas_B!Y27=Itens_B!$E27,Itens_B!$C27,0),IF(Itens_B!$D27="mitigacao",IF(Entradas_B!Y27="Sim",-Itens_B!$C27,Itens_B!$C27),IF(Itens_B!$D27="evidencia",IF(Entradas_B!Y27="Sim",-Itens_B!$C27,0),0))))</f>
        <v/>
      </c>
      <c r="Y29">
        <f>IF(Entradas_B!Z27="N/A",0,IF(Itens_B!$D27="risco",IF(Entradas_B!Z27=Itens_B!$E27,Itens_B!$C27,0),IF(Itens_B!$D27="mitigacao",IF(Entradas_B!Z27="Sim",-Itens_B!$C27,Itens_B!$C27),IF(Itens_B!$D27="evidencia",IF(Entradas_B!Z27="Sim",-Itens_B!$C27,0),0))))</f>
        <v/>
      </c>
      <c r="Z29">
        <f>IF(Entradas_B!AA27="N/A",0,IF(Itens_B!$D27="risco",IF(Entradas_B!AA27=Itens_B!$E27,Itens_B!$C27,0),IF(Itens_B!$D27="mitigacao",IF(Entradas_B!AA27="Sim",-Itens_B!$C27,Itens_B!$C27),IF(Itens_B!$D27="evidencia",IF(Entradas_B!AA27="Sim",-Itens_B!$C27,0),0))))</f>
        <v/>
      </c>
      <c r="AA29">
        <f>IF(Entradas_B!AB27="N/A",0,IF(Itens_B!$D27="risco",IF(Entradas_B!AB27=Itens_B!$E27,Itens_B!$C27,0),IF(Itens_B!$D27="mitigacao",IF(Entradas_B!AB27="Sim",-Itens_B!$C27,Itens_B!$C27),IF(Itens_B!$D27="evidencia",IF(Entradas_B!AB27="Sim",-Itens_B!$C27,0),0))))</f>
        <v/>
      </c>
      <c r="AB29">
        <f>IF(Entradas_B!AC27="N/A",0,IF(Itens_B!$D27="risco",IF(Entradas_B!AC27=Itens_B!$E27,Itens_B!$C27,0),IF(Itens_B!$D27="mitigacao",IF(Entradas_B!AC27="Sim",-Itens_B!$C27,Itens_B!$C27),IF(Itens_B!$D27="evidencia",IF(Entradas_B!AC27="Sim",-Itens_B!$C27,0),0))))</f>
        <v/>
      </c>
      <c r="AC29">
        <f>IF(Entradas_B!AD27="N/A",0,IF(Itens_B!$D27="risco",IF(Entradas_B!AD27=Itens_B!$E27,Itens_B!$C27,0),IF(Itens_B!$D27="mitigacao",IF(Entradas_B!AD27="Sim",-Itens_B!$C27,Itens_B!$C27),IF(Itens_B!$D27="evidencia",IF(Entradas_B!AD27="Sim",-Itens_B!$C27,0),0))))</f>
        <v/>
      </c>
      <c r="AD29">
        <f>IF(Entradas_B!AE27="N/A",0,IF(Itens_B!$D27="risco",IF(Entradas_B!AE27=Itens_B!$E27,Itens_B!$C27,0),IF(Itens_B!$D27="mitigacao",IF(Entradas_B!AE27="Sim",-Itens_B!$C27,Itens_B!$C27),IF(Itens_B!$D27="evidencia",IF(Entradas_B!AE27="Sim",-Itens_B!$C27,0),0))))</f>
        <v/>
      </c>
      <c r="AE29">
        <f>IF(Entradas_B!AF27="N/A",0,IF(Itens_B!$D27="risco",IF(Entradas_B!AF27=Itens_B!$E27,Itens_B!$C27,0),IF(Itens_B!$D27="mitigacao",IF(Entradas_B!AF27="Sim",-Itens_B!$C27,Itens_B!$C27),IF(Itens_B!$D27="evidencia",IF(Entradas_B!AF27="Sim",-Itens_B!$C27,0),0))))</f>
        <v/>
      </c>
      <c r="AF29">
        <f>IF(Entradas_B!AG27="N/A",0,IF(Itens_B!$D27="risco",IF(Entradas_B!AG27=Itens_B!$E27,Itens_B!$C27,0),IF(Itens_B!$D27="mitigacao",IF(Entradas_B!AG27="Sim",-Itens_B!$C27,Itens_B!$C27),IF(Itens_B!$D27="evidencia",IF(Entradas_B!AG27="Sim",-Itens_B!$C27,0),0))))</f>
        <v/>
      </c>
    </row>
    <row r="30">
      <c r="A30" t="inlineStr">
        <is>
          <t>P5.2</t>
        </is>
      </c>
      <c r="B30">
        <f>IF(Entradas_B!C28="N/A",0,IF(Itens_B!$D28="risco",IF(Entradas_B!C28=Itens_B!$E28,Itens_B!$C28,0),IF(Itens_B!$D28="mitigacao",IF(Entradas_B!C28="Sim",-Itens_B!$C28,Itens_B!$C28),IF(Itens_B!$D28="evidencia",IF(Entradas_B!C28="Sim",-Itens_B!$C28,0),0))))</f>
        <v/>
      </c>
      <c r="C30">
        <f>IF(Entradas_B!D28="N/A",0,IF(Itens_B!$D28="risco",IF(Entradas_B!D28=Itens_B!$E28,Itens_B!$C28,0),IF(Itens_B!$D28="mitigacao",IF(Entradas_B!D28="Sim",-Itens_B!$C28,Itens_B!$C28),IF(Itens_B!$D28="evidencia",IF(Entradas_B!D28="Sim",-Itens_B!$C28,0),0))))</f>
        <v/>
      </c>
      <c r="D30">
        <f>IF(Entradas_B!E28="N/A",0,IF(Itens_B!$D28="risco",IF(Entradas_B!E28=Itens_B!$E28,Itens_B!$C28,0),IF(Itens_B!$D28="mitigacao",IF(Entradas_B!E28="Sim",-Itens_B!$C28,Itens_B!$C28),IF(Itens_B!$D28="evidencia",IF(Entradas_B!E28="Sim",-Itens_B!$C28,0),0))))</f>
        <v/>
      </c>
      <c r="E30">
        <f>IF(Entradas_B!F28="N/A",0,IF(Itens_B!$D28="risco",IF(Entradas_B!F28=Itens_B!$E28,Itens_B!$C28,0),IF(Itens_B!$D28="mitigacao",IF(Entradas_B!F28="Sim",-Itens_B!$C28,Itens_B!$C28),IF(Itens_B!$D28="evidencia",IF(Entradas_B!F28="Sim",-Itens_B!$C28,0),0))))</f>
        <v/>
      </c>
      <c r="F30">
        <f>IF(Entradas_B!G28="N/A",0,IF(Itens_B!$D28="risco",IF(Entradas_B!G28=Itens_B!$E28,Itens_B!$C28,0),IF(Itens_B!$D28="mitigacao",IF(Entradas_B!G28="Sim",-Itens_B!$C28,Itens_B!$C28),IF(Itens_B!$D28="evidencia",IF(Entradas_B!G28="Sim",-Itens_B!$C28,0),0))))</f>
        <v/>
      </c>
      <c r="G30">
        <f>IF(Entradas_B!H28="N/A",0,IF(Itens_B!$D28="risco",IF(Entradas_B!H28=Itens_B!$E28,Itens_B!$C28,0),IF(Itens_B!$D28="mitigacao",IF(Entradas_B!H28="Sim",-Itens_B!$C28,Itens_B!$C28),IF(Itens_B!$D28="evidencia",IF(Entradas_B!H28="Sim",-Itens_B!$C28,0),0))))</f>
        <v/>
      </c>
      <c r="H30">
        <f>IF(Entradas_B!I28="N/A",0,IF(Itens_B!$D28="risco",IF(Entradas_B!I28=Itens_B!$E28,Itens_B!$C28,0),IF(Itens_B!$D28="mitigacao",IF(Entradas_B!I28="Sim",-Itens_B!$C28,Itens_B!$C28),IF(Itens_B!$D28="evidencia",IF(Entradas_B!I28="Sim",-Itens_B!$C28,0),0))))</f>
        <v/>
      </c>
      <c r="I30">
        <f>IF(Entradas_B!J28="N/A",0,IF(Itens_B!$D28="risco",IF(Entradas_B!J28=Itens_B!$E28,Itens_B!$C28,0),IF(Itens_B!$D28="mitigacao",IF(Entradas_B!J28="Sim",-Itens_B!$C28,Itens_B!$C28),IF(Itens_B!$D28="evidencia",IF(Entradas_B!J28="Sim",-Itens_B!$C28,0),0))))</f>
        <v/>
      </c>
      <c r="J30">
        <f>IF(Entradas_B!K28="N/A",0,IF(Itens_B!$D28="risco",IF(Entradas_B!K28=Itens_B!$E28,Itens_B!$C28,0),IF(Itens_B!$D28="mitigacao",IF(Entradas_B!K28="Sim",-Itens_B!$C28,Itens_B!$C28),IF(Itens_B!$D28="evidencia",IF(Entradas_B!K28="Sim",-Itens_B!$C28,0),0))))</f>
        <v/>
      </c>
      <c r="K30">
        <f>IF(Entradas_B!L28="N/A",0,IF(Itens_B!$D28="risco",IF(Entradas_B!L28=Itens_B!$E28,Itens_B!$C28,0),IF(Itens_B!$D28="mitigacao",IF(Entradas_B!L28="Sim",-Itens_B!$C28,Itens_B!$C28),IF(Itens_B!$D28="evidencia",IF(Entradas_B!L28="Sim",-Itens_B!$C28,0),0))))</f>
        <v/>
      </c>
      <c r="L30">
        <f>IF(Entradas_B!M28="N/A",0,IF(Itens_B!$D28="risco",IF(Entradas_B!M28=Itens_B!$E28,Itens_B!$C28,0),IF(Itens_B!$D28="mitigacao",IF(Entradas_B!M28="Sim",-Itens_B!$C28,Itens_B!$C28),IF(Itens_B!$D28="evidencia",IF(Entradas_B!M28="Sim",-Itens_B!$C28,0),0))))</f>
        <v/>
      </c>
      <c r="M30">
        <f>IF(Entradas_B!N28="N/A",0,IF(Itens_B!$D28="risco",IF(Entradas_B!N28=Itens_B!$E28,Itens_B!$C28,0),IF(Itens_B!$D28="mitigacao",IF(Entradas_B!N28="Sim",-Itens_B!$C28,Itens_B!$C28),IF(Itens_B!$D28="evidencia",IF(Entradas_B!N28="Sim",-Itens_B!$C28,0),0))))</f>
        <v/>
      </c>
      <c r="N30">
        <f>IF(Entradas_B!O28="N/A",0,IF(Itens_B!$D28="risco",IF(Entradas_B!O28=Itens_B!$E28,Itens_B!$C28,0),IF(Itens_B!$D28="mitigacao",IF(Entradas_B!O28="Sim",-Itens_B!$C28,Itens_B!$C28),IF(Itens_B!$D28="evidencia",IF(Entradas_B!O28="Sim",-Itens_B!$C28,0),0))))</f>
        <v/>
      </c>
      <c r="O30">
        <f>IF(Entradas_B!P28="N/A",0,IF(Itens_B!$D28="risco",IF(Entradas_B!P28=Itens_B!$E28,Itens_B!$C28,0),IF(Itens_B!$D28="mitigacao",IF(Entradas_B!P28="Sim",-Itens_B!$C28,Itens_B!$C28),IF(Itens_B!$D28="evidencia",IF(Entradas_B!P28="Sim",-Itens_B!$C28,0),0))))</f>
        <v/>
      </c>
      <c r="P30">
        <f>IF(Entradas_B!Q28="N/A",0,IF(Itens_B!$D28="risco",IF(Entradas_B!Q28=Itens_B!$E28,Itens_B!$C28,0),IF(Itens_B!$D28="mitigacao",IF(Entradas_B!Q28="Sim",-Itens_B!$C28,Itens_B!$C28),IF(Itens_B!$D28="evidencia",IF(Entradas_B!Q28="Sim",-Itens_B!$C28,0),0))))</f>
        <v/>
      </c>
      <c r="Q30">
        <f>IF(Entradas_B!R28="N/A",0,IF(Itens_B!$D28="risco",IF(Entradas_B!R28=Itens_B!$E28,Itens_B!$C28,0),IF(Itens_B!$D28="mitigacao",IF(Entradas_B!R28="Sim",-Itens_B!$C28,Itens_B!$C28),IF(Itens_B!$D28="evidencia",IF(Entradas_B!R28="Sim",-Itens_B!$C28,0),0))))</f>
        <v/>
      </c>
      <c r="R30">
        <f>IF(Entradas_B!S28="N/A",0,IF(Itens_B!$D28="risco",IF(Entradas_B!S28=Itens_B!$E28,Itens_B!$C28,0),IF(Itens_B!$D28="mitigacao",IF(Entradas_B!S28="Sim",-Itens_B!$C28,Itens_B!$C28),IF(Itens_B!$D28="evidencia",IF(Entradas_B!S28="Sim",-Itens_B!$C28,0),0))))</f>
        <v/>
      </c>
      <c r="S30">
        <f>IF(Entradas_B!T28="N/A",0,IF(Itens_B!$D28="risco",IF(Entradas_B!T28=Itens_B!$E28,Itens_B!$C28,0),IF(Itens_B!$D28="mitigacao",IF(Entradas_B!T28="Sim",-Itens_B!$C28,Itens_B!$C28),IF(Itens_B!$D28="evidencia",IF(Entradas_B!T28="Sim",-Itens_B!$C28,0),0))))</f>
        <v/>
      </c>
      <c r="T30">
        <f>IF(Entradas_B!U28="N/A",0,IF(Itens_B!$D28="risco",IF(Entradas_B!U28=Itens_B!$E28,Itens_B!$C28,0),IF(Itens_B!$D28="mitigacao",IF(Entradas_B!U28="Sim",-Itens_B!$C28,Itens_B!$C28),IF(Itens_B!$D28="evidencia",IF(Entradas_B!U28="Sim",-Itens_B!$C28,0),0))))</f>
        <v/>
      </c>
      <c r="U30">
        <f>IF(Entradas_B!V28="N/A",0,IF(Itens_B!$D28="risco",IF(Entradas_B!V28=Itens_B!$E28,Itens_B!$C28,0),IF(Itens_B!$D28="mitigacao",IF(Entradas_B!V28="Sim",-Itens_B!$C28,Itens_B!$C28),IF(Itens_B!$D28="evidencia",IF(Entradas_B!V28="Sim",-Itens_B!$C28,0),0))))</f>
        <v/>
      </c>
      <c r="V30">
        <f>IF(Entradas_B!W28="N/A",0,IF(Itens_B!$D28="risco",IF(Entradas_B!W28=Itens_B!$E28,Itens_B!$C28,0),IF(Itens_B!$D28="mitigacao",IF(Entradas_B!W28="Sim",-Itens_B!$C28,Itens_B!$C28),IF(Itens_B!$D28="evidencia",IF(Entradas_B!W28="Sim",-Itens_B!$C28,0),0))))</f>
        <v/>
      </c>
      <c r="W30">
        <f>IF(Entradas_B!X28="N/A",0,IF(Itens_B!$D28="risco",IF(Entradas_B!X28=Itens_B!$E28,Itens_B!$C28,0),IF(Itens_B!$D28="mitigacao",IF(Entradas_B!X28="Sim",-Itens_B!$C28,Itens_B!$C28),IF(Itens_B!$D28="evidencia",IF(Entradas_B!X28="Sim",-Itens_B!$C28,0),0))))</f>
        <v/>
      </c>
      <c r="X30">
        <f>IF(Entradas_B!Y28="N/A",0,IF(Itens_B!$D28="risco",IF(Entradas_B!Y28=Itens_B!$E28,Itens_B!$C28,0),IF(Itens_B!$D28="mitigacao",IF(Entradas_B!Y28="Sim",-Itens_B!$C28,Itens_B!$C28),IF(Itens_B!$D28="evidencia",IF(Entradas_B!Y28="Sim",-Itens_B!$C28,0),0))))</f>
        <v/>
      </c>
      <c r="Y30">
        <f>IF(Entradas_B!Z28="N/A",0,IF(Itens_B!$D28="risco",IF(Entradas_B!Z28=Itens_B!$E28,Itens_B!$C28,0),IF(Itens_B!$D28="mitigacao",IF(Entradas_B!Z28="Sim",-Itens_B!$C28,Itens_B!$C28),IF(Itens_B!$D28="evidencia",IF(Entradas_B!Z28="Sim",-Itens_B!$C28,0),0))))</f>
        <v/>
      </c>
      <c r="Z30">
        <f>IF(Entradas_B!AA28="N/A",0,IF(Itens_B!$D28="risco",IF(Entradas_B!AA28=Itens_B!$E28,Itens_B!$C28,0),IF(Itens_B!$D28="mitigacao",IF(Entradas_B!AA28="Sim",-Itens_B!$C28,Itens_B!$C28),IF(Itens_B!$D28="evidencia",IF(Entradas_B!AA28="Sim",-Itens_B!$C28,0),0))))</f>
        <v/>
      </c>
      <c r="AA30">
        <f>IF(Entradas_B!AB28="N/A",0,IF(Itens_B!$D28="risco",IF(Entradas_B!AB28=Itens_B!$E28,Itens_B!$C28,0),IF(Itens_B!$D28="mitigacao",IF(Entradas_B!AB28="Sim",-Itens_B!$C28,Itens_B!$C28),IF(Itens_B!$D28="evidencia",IF(Entradas_B!AB28="Sim",-Itens_B!$C28,0),0))))</f>
        <v/>
      </c>
      <c r="AB30">
        <f>IF(Entradas_B!AC28="N/A",0,IF(Itens_B!$D28="risco",IF(Entradas_B!AC28=Itens_B!$E28,Itens_B!$C28,0),IF(Itens_B!$D28="mitigacao",IF(Entradas_B!AC28="Sim",-Itens_B!$C28,Itens_B!$C28),IF(Itens_B!$D28="evidencia",IF(Entradas_B!AC28="Sim",-Itens_B!$C28,0),0))))</f>
        <v/>
      </c>
      <c r="AC30">
        <f>IF(Entradas_B!AD28="N/A",0,IF(Itens_B!$D28="risco",IF(Entradas_B!AD28=Itens_B!$E28,Itens_B!$C28,0),IF(Itens_B!$D28="mitigacao",IF(Entradas_B!AD28="Sim",-Itens_B!$C28,Itens_B!$C28),IF(Itens_B!$D28="evidencia",IF(Entradas_B!AD28="Sim",-Itens_B!$C28,0),0))))</f>
        <v/>
      </c>
      <c r="AD30">
        <f>IF(Entradas_B!AE28="N/A",0,IF(Itens_B!$D28="risco",IF(Entradas_B!AE28=Itens_B!$E28,Itens_B!$C28,0),IF(Itens_B!$D28="mitigacao",IF(Entradas_B!AE28="Sim",-Itens_B!$C28,Itens_B!$C28),IF(Itens_B!$D28="evidencia",IF(Entradas_B!AE28="Sim",-Itens_B!$C28,0),0))))</f>
        <v/>
      </c>
      <c r="AE30">
        <f>IF(Entradas_B!AF28="N/A",0,IF(Itens_B!$D28="risco",IF(Entradas_B!AF28=Itens_B!$E28,Itens_B!$C28,0),IF(Itens_B!$D28="mitigacao",IF(Entradas_B!AF28="Sim",-Itens_B!$C28,Itens_B!$C28),IF(Itens_B!$D28="evidencia",IF(Entradas_B!AF28="Sim",-Itens_B!$C28,0),0))))</f>
        <v/>
      </c>
      <c r="AF30">
        <f>IF(Entradas_B!AG28="N/A",0,IF(Itens_B!$D28="risco",IF(Entradas_B!AG28=Itens_B!$E28,Itens_B!$C28,0),IF(Itens_B!$D28="mitigacao",IF(Entradas_B!AG28="Sim",-Itens_B!$C28,Itens_B!$C28),IF(Itens_B!$D28="evidencia",IF(Entradas_B!AG28="Sim",-Itens_B!$C28,0),0))))</f>
        <v/>
      </c>
    </row>
    <row r="31">
      <c r="A31" t="inlineStr">
        <is>
          <t>P5.3</t>
        </is>
      </c>
      <c r="B31">
        <f>IF(Entradas_B!C29="N/A",0,IF(Itens_B!$D29="risco",IF(Entradas_B!C29=Itens_B!$E29,Itens_B!$C29,0),IF(Itens_B!$D29="mitigacao",IF(Entradas_B!C29="Sim",-Itens_B!$C29,Itens_B!$C29),IF(Itens_B!$D29="evidencia",IF(Entradas_B!C29="Sim",-Itens_B!$C29,0),0))))</f>
        <v/>
      </c>
      <c r="C31">
        <f>IF(Entradas_B!D29="N/A",0,IF(Itens_B!$D29="risco",IF(Entradas_B!D29=Itens_B!$E29,Itens_B!$C29,0),IF(Itens_B!$D29="mitigacao",IF(Entradas_B!D29="Sim",-Itens_B!$C29,Itens_B!$C29),IF(Itens_B!$D29="evidencia",IF(Entradas_B!D29="Sim",-Itens_B!$C29,0),0))))</f>
        <v/>
      </c>
      <c r="D31">
        <f>IF(Entradas_B!E29="N/A",0,IF(Itens_B!$D29="risco",IF(Entradas_B!E29=Itens_B!$E29,Itens_B!$C29,0),IF(Itens_B!$D29="mitigacao",IF(Entradas_B!E29="Sim",-Itens_B!$C29,Itens_B!$C29),IF(Itens_B!$D29="evidencia",IF(Entradas_B!E29="Sim",-Itens_B!$C29,0),0))))</f>
        <v/>
      </c>
      <c r="E31">
        <f>IF(Entradas_B!F29="N/A",0,IF(Itens_B!$D29="risco",IF(Entradas_B!F29=Itens_B!$E29,Itens_B!$C29,0),IF(Itens_B!$D29="mitigacao",IF(Entradas_B!F29="Sim",-Itens_B!$C29,Itens_B!$C29),IF(Itens_B!$D29="evidencia",IF(Entradas_B!F29="Sim",-Itens_B!$C29,0),0))))</f>
        <v/>
      </c>
      <c r="F31">
        <f>IF(Entradas_B!G29="N/A",0,IF(Itens_B!$D29="risco",IF(Entradas_B!G29=Itens_B!$E29,Itens_B!$C29,0),IF(Itens_B!$D29="mitigacao",IF(Entradas_B!G29="Sim",-Itens_B!$C29,Itens_B!$C29),IF(Itens_B!$D29="evidencia",IF(Entradas_B!G29="Sim",-Itens_B!$C29,0),0))))</f>
        <v/>
      </c>
      <c r="G31">
        <f>IF(Entradas_B!H29="N/A",0,IF(Itens_B!$D29="risco",IF(Entradas_B!H29=Itens_B!$E29,Itens_B!$C29,0),IF(Itens_B!$D29="mitigacao",IF(Entradas_B!H29="Sim",-Itens_B!$C29,Itens_B!$C29),IF(Itens_B!$D29="evidencia",IF(Entradas_B!H29="Sim",-Itens_B!$C29,0),0))))</f>
        <v/>
      </c>
      <c r="H31">
        <f>IF(Entradas_B!I29="N/A",0,IF(Itens_B!$D29="risco",IF(Entradas_B!I29=Itens_B!$E29,Itens_B!$C29,0),IF(Itens_B!$D29="mitigacao",IF(Entradas_B!I29="Sim",-Itens_B!$C29,Itens_B!$C29),IF(Itens_B!$D29="evidencia",IF(Entradas_B!I29="Sim",-Itens_B!$C29,0),0))))</f>
        <v/>
      </c>
      <c r="I31">
        <f>IF(Entradas_B!J29="N/A",0,IF(Itens_B!$D29="risco",IF(Entradas_B!J29=Itens_B!$E29,Itens_B!$C29,0),IF(Itens_B!$D29="mitigacao",IF(Entradas_B!J29="Sim",-Itens_B!$C29,Itens_B!$C29),IF(Itens_B!$D29="evidencia",IF(Entradas_B!J29="Sim",-Itens_B!$C29,0),0))))</f>
        <v/>
      </c>
      <c r="J31">
        <f>IF(Entradas_B!K29="N/A",0,IF(Itens_B!$D29="risco",IF(Entradas_B!K29=Itens_B!$E29,Itens_B!$C29,0),IF(Itens_B!$D29="mitigacao",IF(Entradas_B!K29="Sim",-Itens_B!$C29,Itens_B!$C29),IF(Itens_B!$D29="evidencia",IF(Entradas_B!K29="Sim",-Itens_B!$C29,0),0))))</f>
        <v/>
      </c>
      <c r="K31">
        <f>IF(Entradas_B!L29="N/A",0,IF(Itens_B!$D29="risco",IF(Entradas_B!L29=Itens_B!$E29,Itens_B!$C29,0),IF(Itens_B!$D29="mitigacao",IF(Entradas_B!L29="Sim",-Itens_B!$C29,Itens_B!$C29),IF(Itens_B!$D29="evidencia",IF(Entradas_B!L29="Sim",-Itens_B!$C29,0),0))))</f>
        <v/>
      </c>
      <c r="L31">
        <f>IF(Entradas_B!M29="N/A",0,IF(Itens_B!$D29="risco",IF(Entradas_B!M29=Itens_B!$E29,Itens_B!$C29,0),IF(Itens_B!$D29="mitigacao",IF(Entradas_B!M29="Sim",-Itens_B!$C29,Itens_B!$C29),IF(Itens_B!$D29="evidencia",IF(Entradas_B!M29="Sim",-Itens_B!$C29,0),0))))</f>
        <v/>
      </c>
      <c r="M31">
        <f>IF(Entradas_B!N29="N/A",0,IF(Itens_B!$D29="risco",IF(Entradas_B!N29=Itens_B!$E29,Itens_B!$C29,0),IF(Itens_B!$D29="mitigacao",IF(Entradas_B!N29="Sim",-Itens_B!$C29,Itens_B!$C29),IF(Itens_B!$D29="evidencia",IF(Entradas_B!N29="Sim",-Itens_B!$C29,0),0))))</f>
        <v/>
      </c>
      <c r="N31">
        <f>IF(Entradas_B!O29="N/A",0,IF(Itens_B!$D29="risco",IF(Entradas_B!O29=Itens_B!$E29,Itens_B!$C29,0),IF(Itens_B!$D29="mitigacao",IF(Entradas_B!O29="Sim",-Itens_B!$C29,Itens_B!$C29),IF(Itens_B!$D29="evidencia",IF(Entradas_B!O29="Sim",-Itens_B!$C29,0),0))))</f>
        <v/>
      </c>
      <c r="O31">
        <f>IF(Entradas_B!P29="N/A",0,IF(Itens_B!$D29="risco",IF(Entradas_B!P29=Itens_B!$E29,Itens_B!$C29,0),IF(Itens_B!$D29="mitigacao",IF(Entradas_B!P29="Sim",-Itens_B!$C29,Itens_B!$C29),IF(Itens_B!$D29="evidencia",IF(Entradas_B!P29="Sim",-Itens_B!$C29,0),0))))</f>
        <v/>
      </c>
      <c r="P31">
        <f>IF(Entradas_B!Q29="N/A",0,IF(Itens_B!$D29="risco",IF(Entradas_B!Q29=Itens_B!$E29,Itens_B!$C29,0),IF(Itens_B!$D29="mitigacao",IF(Entradas_B!Q29="Sim",-Itens_B!$C29,Itens_B!$C29),IF(Itens_B!$D29="evidencia",IF(Entradas_B!Q29="Sim",-Itens_B!$C29,0),0))))</f>
        <v/>
      </c>
      <c r="Q31">
        <f>IF(Entradas_B!R29="N/A",0,IF(Itens_B!$D29="risco",IF(Entradas_B!R29=Itens_B!$E29,Itens_B!$C29,0),IF(Itens_B!$D29="mitigacao",IF(Entradas_B!R29="Sim",-Itens_B!$C29,Itens_B!$C29),IF(Itens_B!$D29="evidencia",IF(Entradas_B!R29="Sim",-Itens_B!$C29,0),0))))</f>
        <v/>
      </c>
      <c r="R31">
        <f>IF(Entradas_B!S29="N/A",0,IF(Itens_B!$D29="risco",IF(Entradas_B!S29=Itens_B!$E29,Itens_B!$C29,0),IF(Itens_B!$D29="mitigacao",IF(Entradas_B!S29="Sim",-Itens_B!$C29,Itens_B!$C29),IF(Itens_B!$D29="evidencia",IF(Entradas_B!S29="Sim",-Itens_B!$C29,0),0))))</f>
        <v/>
      </c>
      <c r="S31">
        <f>IF(Entradas_B!T29="N/A",0,IF(Itens_B!$D29="risco",IF(Entradas_B!T29=Itens_B!$E29,Itens_B!$C29,0),IF(Itens_B!$D29="mitigacao",IF(Entradas_B!T29="Sim",-Itens_B!$C29,Itens_B!$C29),IF(Itens_B!$D29="evidencia",IF(Entradas_B!T29="Sim",-Itens_B!$C29,0),0))))</f>
        <v/>
      </c>
      <c r="T31">
        <f>IF(Entradas_B!U29="N/A",0,IF(Itens_B!$D29="risco",IF(Entradas_B!U29=Itens_B!$E29,Itens_B!$C29,0),IF(Itens_B!$D29="mitigacao",IF(Entradas_B!U29="Sim",-Itens_B!$C29,Itens_B!$C29),IF(Itens_B!$D29="evidencia",IF(Entradas_B!U29="Sim",-Itens_B!$C29,0),0))))</f>
        <v/>
      </c>
      <c r="U31">
        <f>IF(Entradas_B!V29="N/A",0,IF(Itens_B!$D29="risco",IF(Entradas_B!V29=Itens_B!$E29,Itens_B!$C29,0),IF(Itens_B!$D29="mitigacao",IF(Entradas_B!V29="Sim",-Itens_B!$C29,Itens_B!$C29),IF(Itens_B!$D29="evidencia",IF(Entradas_B!V29="Sim",-Itens_B!$C29,0),0))))</f>
        <v/>
      </c>
      <c r="V31">
        <f>IF(Entradas_B!W29="N/A",0,IF(Itens_B!$D29="risco",IF(Entradas_B!W29=Itens_B!$E29,Itens_B!$C29,0),IF(Itens_B!$D29="mitigacao",IF(Entradas_B!W29="Sim",-Itens_B!$C29,Itens_B!$C29),IF(Itens_B!$D29="evidencia",IF(Entradas_B!W29="Sim",-Itens_B!$C29,0),0))))</f>
        <v/>
      </c>
      <c r="W31">
        <f>IF(Entradas_B!X29="N/A",0,IF(Itens_B!$D29="risco",IF(Entradas_B!X29=Itens_B!$E29,Itens_B!$C29,0),IF(Itens_B!$D29="mitigacao",IF(Entradas_B!X29="Sim",-Itens_B!$C29,Itens_B!$C29),IF(Itens_B!$D29="evidencia",IF(Entradas_B!X29="Sim",-Itens_B!$C29,0),0))))</f>
        <v/>
      </c>
      <c r="X31">
        <f>IF(Entradas_B!Y29="N/A",0,IF(Itens_B!$D29="risco",IF(Entradas_B!Y29=Itens_B!$E29,Itens_B!$C29,0),IF(Itens_B!$D29="mitigacao",IF(Entradas_B!Y29="Sim",-Itens_B!$C29,Itens_B!$C29),IF(Itens_B!$D29="evidencia",IF(Entradas_B!Y29="Sim",-Itens_B!$C29,0),0))))</f>
        <v/>
      </c>
      <c r="Y31">
        <f>IF(Entradas_B!Z29="N/A",0,IF(Itens_B!$D29="risco",IF(Entradas_B!Z29=Itens_B!$E29,Itens_B!$C29,0),IF(Itens_B!$D29="mitigacao",IF(Entradas_B!Z29="Sim",-Itens_B!$C29,Itens_B!$C29),IF(Itens_B!$D29="evidencia",IF(Entradas_B!Z29="Sim",-Itens_B!$C29,0),0))))</f>
        <v/>
      </c>
      <c r="Z31">
        <f>IF(Entradas_B!AA29="N/A",0,IF(Itens_B!$D29="risco",IF(Entradas_B!AA29=Itens_B!$E29,Itens_B!$C29,0),IF(Itens_B!$D29="mitigacao",IF(Entradas_B!AA29="Sim",-Itens_B!$C29,Itens_B!$C29),IF(Itens_B!$D29="evidencia",IF(Entradas_B!AA29="Sim",-Itens_B!$C29,0),0))))</f>
        <v/>
      </c>
      <c r="AA31">
        <f>IF(Entradas_B!AB29="N/A",0,IF(Itens_B!$D29="risco",IF(Entradas_B!AB29=Itens_B!$E29,Itens_B!$C29,0),IF(Itens_B!$D29="mitigacao",IF(Entradas_B!AB29="Sim",-Itens_B!$C29,Itens_B!$C29),IF(Itens_B!$D29="evidencia",IF(Entradas_B!AB29="Sim",-Itens_B!$C29,0),0))))</f>
        <v/>
      </c>
      <c r="AB31">
        <f>IF(Entradas_B!AC29="N/A",0,IF(Itens_B!$D29="risco",IF(Entradas_B!AC29=Itens_B!$E29,Itens_B!$C29,0),IF(Itens_B!$D29="mitigacao",IF(Entradas_B!AC29="Sim",-Itens_B!$C29,Itens_B!$C29),IF(Itens_B!$D29="evidencia",IF(Entradas_B!AC29="Sim",-Itens_B!$C29,0),0))))</f>
        <v/>
      </c>
      <c r="AC31">
        <f>IF(Entradas_B!AD29="N/A",0,IF(Itens_B!$D29="risco",IF(Entradas_B!AD29=Itens_B!$E29,Itens_B!$C29,0),IF(Itens_B!$D29="mitigacao",IF(Entradas_B!AD29="Sim",-Itens_B!$C29,Itens_B!$C29),IF(Itens_B!$D29="evidencia",IF(Entradas_B!AD29="Sim",-Itens_B!$C29,0),0))))</f>
        <v/>
      </c>
      <c r="AD31">
        <f>IF(Entradas_B!AE29="N/A",0,IF(Itens_B!$D29="risco",IF(Entradas_B!AE29=Itens_B!$E29,Itens_B!$C29,0),IF(Itens_B!$D29="mitigacao",IF(Entradas_B!AE29="Sim",-Itens_B!$C29,Itens_B!$C29),IF(Itens_B!$D29="evidencia",IF(Entradas_B!AE29="Sim",-Itens_B!$C29,0),0))))</f>
        <v/>
      </c>
      <c r="AE31">
        <f>IF(Entradas_B!AF29="N/A",0,IF(Itens_B!$D29="risco",IF(Entradas_B!AF29=Itens_B!$E29,Itens_B!$C29,0),IF(Itens_B!$D29="mitigacao",IF(Entradas_B!AF29="Sim",-Itens_B!$C29,Itens_B!$C29),IF(Itens_B!$D29="evidencia",IF(Entradas_B!AF29="Sim",-Itens_B!$C29,0),0))))</f>
        <v/>
      </c>
      <c r="AF31">
        <f>IF(Entradas_B!AG29="N/A",0,IF(Itens_B!$D29="risco",IF(Entradas_B!AG29=Itens_B!$E29,Itens_B!$C29,0),IF(Itens_B!$D29="mitigacao",IF(Entradas_B!AG29="Sim",-Itens_B!$C29,Itens_B!$C29),IF(Itens_B!$D29="evidencia",IF(Entradas_B!AG29="Sim",-Itens_B!$C29,0),0))))</f>
        <v/>
      </c>
    </row>
    <row r="32">
      <c r="A32" t="inlineStr">
        <is>
          <t>P5.4</t>
        </is>
      </c>
      <c r="B32">
        <f>IF(Entradas_B!C30="N/A",0,IF(Itens_B!$D30="risco",IF(Entradas_B!C30=Itens_B!$E30,Itens_B!$C30,0),IF(Itens_B!$D30="mitigacao",IF(Entradas_B!C30="Sim",-Itens_B!$C30,Itens_B!$C30),IF(Itens_B!$D30="evidencia",IF(Entradas_B!C30="Sim",-Itens_B!$C30,0),0))))</f>
        <v/>
      </c>
      <c r="C32">
        <f>IF(Entradas_B!D30="N/A",0,IF(Itens_B!$D30="risco",IF(Entradas_B!D30=Itens_B!$E30,Itens_B!$C30,0),IF(Itens_B!$D30="mitigacao",IF(Entradas_B!D30="Sim",-Itens_B!$C30,Itens_B!$C30),IF(Itens_B!$D30="evidencia",IF(Entradas_B!D30="Sim",-Itens_B!$C30,0),0))))</f>
        <v/>
      </c>
      <c r="D32">
        <f>IF(Entradas_B!E30="N/A",0,IF(Itens_B!$D30="risco",IF(Entradas_B!E30=Itens_B!$E30,Itens_B!$C30,0),IF(Itens_B!$D30="mitigacao",IF(Entradas_B!E30="Sim",-Itens_B!$C30,Itens_B!$C30),IF(Itens_B!$D30="evidencia",IF(Entradas_B!E30="Sim",-Itens_B!$C30,0),0))))</f>
        <v/>
      </c>
      <c r="E32">
        <f>IF(Entradas_B!F30="N/A",0,IF(Itens_B!$D30="risco",IF(Entradas_B!F30=Itens_B!$E30,Itens_B!$C30,0),IF(Itens_B!$D30="mitigacao",IF(Entradas_B!F30="Sim",-Itens_B!$C30,Itens_B!$C30),IF(Itens_B!$D30="evidencia",IF(Entradas_B!F30="Sim",-Itens_B!$C30,0),0))))</f>
        <v/>
      </c>
      <c r="F32">
        <f>IF(Entradas_B!G30="N/A",0,IF(Itens_B!$D30="risco",IF(Entradas_B!G30=Itens_B!$E30,Itens_B!$C30,0),IF(Itens_B!$D30="mitigacao",IF(Entradas_B!G30="Sim",-Itens_B!$C30,Itens_B!$C30),IF(Itens_B!$D30="evidencia",IF(Entradas_B!G30="Sim",-Itens_B!$C30,0),0))))</f>
        <v/>
      </c>
      <c r="G32">
        <f>IF(Entradas_B!H30="N/A",0,IF(Itens_B!$D30="risco",IF(Entradas_B!H30=Itens_B!$E30,Itens_B!$C30,0),IF(Itens_B!$D30="mitigacao",IF(Entradas_B!H30="Sim",-Itens_B!$C30,Itens_B!$C30),IF(Itens_B!$D30="evidencia",IF(Entradas_B!H30="Sim",-Itens_B!$C30,0),0))))</f>
        <v/>
      </c>
      <c r="H32">
        <f>IF(Entradas_B!I30="N/A",0,IF(Itens_B!$D30="risco",IF(Entradas_B!I30=Itens_B!$E30,Itens_B!$C30,0),IF(Itens_B!$D30="mitigacao",IF(Entradas_B!I30="Sim",-Itens_B!$C30,Itens_B!$C30),IF(Itens_B!$D30="evidencia",IF(Entradas_B!I30="Sim",-Itens_B!$C30,0),0))))</f>
        <v/>
      </c>
      <c r="I32">
        <f>IF(Entradas_B!J30="N/A",0,IF(Itens_B!$D30="risco",IF(Entradas_B!J30=Itens_B!$E30,Itens_B!$C30,0),IF(Itens_B!$D30="mitigacao",IF(Entradas_B!J30="Sim",-Itens_B!$C30,Itens_B!$C30),IF(Itens_B!$D30="evidencia",IF(Entradas_B!J30="Sim",-Itens_B!$C30,0),0))))</f>
        <v/>
      </c>
      <c r="J32">
        <f>IF(Entradas_B!K30="N/A",0,IF(Itens_B!$D30="risco",IF(Entradas_B!K30=Itens_B!$E30,Itens_B!$C30,0),IF(Itens_B!$D30="mitigacao",IF(Entradas_B!K30="Sim",-Itens_B!$C30,Itens_B!$C30),IF(Itens_B!$D30="evidencia",IF(Entradas_B!K30="Sim",-Itens_B!$C30,0),0))))</f>
        <v/>
      </c>
      <c r="K32">
        <f>IF(Entradas_B!L30="N/A",0,IF(Itens_B!$D30="risco",IF(Entradas_B!L30=Itens_B!$E30,Itens_B!$C30,0),IF(Itens_B!$D30="mitigacao",IF(Entradas_B!L30="Sim",-Itens_B!$C30,Itens_B!$C30),IF(Itens_B!$D30="evidencia",IF(Entradas_B!L30="Sim",-Itens_B!$C30,0),0))))</f>
        <v/>
      </c>
      <c r="L32">
        <f>IF(Entradas_B!M30="N/A",0,IF(Itens_B!$D30="risco",IF(Entradas_B!M30=Itens_B!$E30,Itens_B!$C30,0),IF(Itens_B!$D30="mitigacao",IF(Entradas_B!M30="Sim",-Itens_B!$C30,Itens_B!$C30),IF(Itens_B!$D30="evidencia",IF(Entradas_B!M30="Sim",-Itens_B!$C30,0),0))))</f>
        <v/>
      </c>
      <c r="M32">
        <f>IF(Entradas_B!N30="N/A",0,IF(Itens_B!$D30="risco",IF(Entradas_B!N30=Itens_B!$E30,Itens_B!$C30,0),IF(Itens_B!$D30="mitigacao",IF(Entradas_B!N30="Sim",-Itens_B!$C30,Itens_B!$C30),IF(Itens_B!$D30="evidencia",IF(Entradas_B!N30="Sim",-Itens_B!$C30,0),0))))</f>
        <v/>
      </c>
      <c r="N32">
        <f>IF(Entradas_B!O30="N/A",0,IF(Itens_B!$D30="risco",IF(Entradas_B!O30=Itens_B!$E30,Itens_B!$C30,0),IF(Itens_B!$D30="mitigacao",IF(Entradas_B!O30="Sim",-Itens_B!$C30,Itens_B!$C30),IF(Itens_B!$D30="evidencia",IF(Entradas_B!O30="Sim",-Itens_B!$C30,0),0))))</f>
        <v/>
      </c>
      <c r="O32">
        <f>IF(Entradas_B!P30="N/A",0,IF(Itens_B!$D30="risco",IF(Entradas_B!P30=Itens_B!$E30,Itens_B!$C30,0),IF(Itens_B!$D30="mitigacao",IF(Entradas_B!P30="Sim",-Itens_B!$C30,Itens_B!$C30),IF(Itens_B!$D30="evidencia",IF(Entradas_B!P30="Sim",-Itens_B!$C30,0),0))))</f>
        <v/>
      </c>
      <c r="P32">
        <f>IF(Entradas_B!Q30="N/A",0,IF(Itens_B!$D30="risco",IF(Entradas_B!Q30=Itens_B!$E30,Itens_B!$C30,0),IF(Itens_B!$D30="mitigacao",IF(Entradas_B!Q30="Sim",-Itens_B!$C30,Itens_B!$C30),IF(Itens_B!$D30="evidencia",IF(Entradas_B!Q30="Sim",-Itens_B!$C30,0),0))))</f>
        <v/>
      </c>
      <c r="Q32">
        <f>IF(Entradas_B!R30="N/A",0,IF(Itens_B!$D30="risco",IF(Entradas_B!R30=Itens_B!$E30,Itens_B!$C30,0),IF(Itens_B!$D30="mitigacao",IF(Entradas_B!R30="Sim",-Itens_B!$C30,Itens_B!$C30),IF(Itens_B!$D30="evidencia",IF(Entradas_B!R30="Sim",-Itens_B!$C30,0),0))))</f>
        <v/>
      </c>
      <c r="R32">
        <f>IF(Entradas_B!S30="N/A",0,IF(Itens_B!$D30="risco",IF(Entradas_B!S30=Itens_B!$E30,Itens_B!$C30,0),IF(Itens_B!$D30="mitigacao",IF(Entradas_B!S30="Sim",-Itens_B!$C30,Itens_B!$C30),IF(Itens_B!$D30="evidencia",IF(Entradas_B!S30="Sim",-Itens_B!$C30,0),0))))</f>
        <v/>
      </c>
      <c r="S32">
        <f>IF(Entradas_B!T30="N/A",0,IF(Itens_B!$D30="risco",IF(Entradas_B!T30=Itens_B!$E30,Itens_B!$C30,0),IF(Itens_B!$D30="mitigacao",IF(Entradas_B!T30="Sim",-Itens_B!$C30,Itens_B!$C30),IF(Itens_B!$D30="evidencia",IF(Entradas_B!T30="Sim",-Itens_B!$C30,0),0))))</f>
        <v/>
      </c>
      <c r="T32">
        <f>IF(Entradas_B!U30="N/A",0,IF(Itens_B!$D30="risco",IF(Entradas_B!U30=Itens_B!$E30,Itens_B!$C30,0),IF(Itens_B!$D30="mitigacao",IF(Entradas_B!U30="Sim",-Itens_B!$C30,Itens_B!$C30),IF(Itens_B!$D30="evidencia",IF(Entradas_B!U30="Sim",-Itens_B!$C30,0),0))))</f>
        <v/>
      </c>
      <c r="U32">
        <f>IF(Entradas_B!V30="N/A",0,IF(Itens_B!$D30="risco",IF(Entradas_B!V30=Itens_B!$E30,Itens_B!$C30,0),IF(Itens_B!$D30="mitigacao",IF(Entradas_B!V30="Sim",-Itens_B!$C30,Itens_B!$C30),IF(Itens_B!$D30="evidencia",IF(Entradas_B!V30="Sim",-Itens_B!$C30,0),0))))</f>
        <v/>
      </c>
      <c r="V32">
        <f>IF(Entradas_B!W30="N/A",0,IF(Itens_B!$D30="risco",IF(Entradas_B!W30=Itens_B!$E30,Itens_B!$C30,0),IF(Itens_B!$D30="mitigacao",IF(Entradas_B!W30="Sim",-Itens_B!$C30,Itens_B!$C30),IF(Itens_B!$D30="evidencia",IF(Entradas_B!W30="Sim",-Itens_B!$C30,0),0))))</f>
        <v/>
      </c>
      <c r="W32">
        <f>IF(Entradas_B!X30="N/A",0,IF(Itens_B!$D30="risco",IF(Entradas_B!X30=Itens_B!$E30,Itens_B!$C30,0),IF(Itens_B!$D30="mitigacao",IF(Entradas_B!X30="Sim",-Itens_B!$C30,Itens_B!$C30),IF(Itens_B!$D30="evidencia",IF(Entradas_B!X30="Sim",-Itens_B!$C30,0),0))))</f>
        <v/>
      </c>
      <c r="X32">
        <f>IF(Entradas_B!Y30="N/A",0,IF(Itens_B!$D30="risco",IF(Entradas_B!Y30=Itens_B!$E30,Itens_B!$C30,0),IF(Itens_B!$D30="mitigacao",IF(Entradas_B!Y30="Sim",-Itens_B!$C30,Itens_B!$C30),IF(Itens_B!$D30="evidencia",IF(Entradas_B!Y30="Sim",-Itens_B!$C30,0),0))))</f>
        <v/>
      </c>
      <c r="Y32">
        <f>IF(Entradas_B!Z30="N/A",0,IF(Itens_B!$D30="risco",IF(Entradas_B!Z30=Itens_B!$E30,Itens_B!$C30,0),IF(Itens_B!$D30="mitigacao",IF(Entradas_B!Z30="Sim",-Itens_B!$C30,Itens_B!$C30),IF(Itens_B!$D30="evidencia",IF(Entradas_B!Z30="Sim",-Itens_B!$C30,0),0))))</f>
        <v/>
      </c>
      <c r="Z32">
        <f>IF(Entradas_B!AA30="N/A",0,IF(Itens_B!$D30="risco",IF(Entradas_B!AA30=Itens_B!$E30,Itens_B!$C30,0),IF(Itens_B!$D30="mitigacao",IF(Entradas_B!AA30="Sim",-Itens_B!$C30,Itens_B!$C30),IF(Itens_B!$D30="evidencia",IF(Entradas_B!AA30="Sim",-Itens_B!$C30,0),0))))</f>
        <v/>
      </c>
      <c r="AA32">
        <f>IF(Entradas_B!AB30="N/A",0,IF(Itens_B!$D30="risco",IF(Entradas_B!AB30=Itens_B!$E30,Itens_B!$C30,0),IF(Itens_B!$D30="mitigacao",IF(Entradas_B!AB30="Sim",-Itens_B!$C30,Itens_B!$C30),IF(Itens_B!$D30="evidencia",IF(Entradas_B!AB30="Sim",-Itens_B!$C30,0),0))))</f>
        <v/>
      </c>
      <c r="AB32">
        <f>IF(Entradas_B!AC30="N/A",0,IF(Itens_B!$D30="risco",IF(Entradas_B!AC30=Itens_B!$E30,Itens_B!$C30,0),IF(Itens_B!$D30="mitigacao",IF(Entradas_B!AC30="Sim",-Itens_B!$C30,Itens_B!$C30),IF(Itens_B!$D30="evidencia",IF(Entradas_B!AC30="Sim",-Itens_B!$C30,0),0))))</f>
        <v/>
      </c>
      <c r="AC32">
        <f>IF(Entradas_B!AD30="N/A",0,IF(Itens_B!$D30="risco",IF(Entradas_B!AD30=Itens_B!$E30,Itens_B!$C30,0),IF(Itens_B!$D30="mitigacao",IF(Entradas_B!AD30="Sim",-Itens_B!$C30,Itens_B!$C30),IF(Itens_B!$D30="evidencia",IF(Entradas_B!AD30="Sim",-Itens_B!$C30,0),0))))</f>
        <v/>
      </c>
      <c r="AD32">
        <f>IF(Entradas_B!AE30="N/A",0,IF(Itens_B!$D30="risco",IF(Entradas_B!AE30=Itens_B!$E30,Itens_B!$C30,0),IF(Itens_B!$D30="mitigacao",IF(Entradas_B!AE30="Sim",-Itens_B!$C30,Itens_B!$C30),IF(Itens_B!$D30="evidencia",IF(Entradas_B!AE30="Sim",-Itens_B!$C30,0),0))))</f>
        <v/>
      </c>
      <c r="AE32">
        <f>IF(Entradas_B!AF30="N/A",0,IF(Itens_B!$D30="risco",IF(Entradas_B!AF30=Itens_B!$E30,Itens_B!$C30,0),IF(Itens_B!$D30="mitigacao",IF(Entradas_B!AF30="Sim",-Itens_B!$C30,Itens_B!$C30),IF(Itens_B!$D30="evidencia",IF(Entradas_B!AF30="Sim",-Itens_B!$C30,0),0))))</f>
        <v/>
      </c>
      <c r="AF32">
        <f>IF(Entradas_B!AG30="N/A",0,IF(Itens_B!$D30="risco",IF(Entradas_B!AG30=Itens_B!$E30,Itens_B!$C30,0),IF(Itens_B!$D30="mitigacao",IF(Entradas_B!AG30="Sim",-Itens_B!$C30,Itens_B!$C30),IF(Itens_B!$D30="evidencia",IF(Entradas_B!AG30="Sim",-Itens_B!$C30,0),0))))</f>
        <v/>
      </c>
    </row>
    <row r="33">
      <c r="A33" t="inlineStr">
        <is>
          <t>P5.5</t>
        </is>
      </c>
      <c r="B33">
        <f>IF(Entradas_B!C31="N/A",0,IF(Itens_B!$D31="risco",IF(Entradas_B!C31=Itens_B!$E31,Itens_B!$C31,0),IF(Itens_B!$D31="mitigacao",IF(Entradas_B!C31="Sim",-Itens_B!$C31,Itens_B!$C31),IF(Itens_B!$D31="evidencia",IF(Entradas_B!C31="Sim",-Itens_B!$C31,0),0))))</f>
        <v/>
      </c>
      <c r="C33">
        <f>IF(Entradas_B!D31="N/A",0,IF(Itens_B!$D31="risco",IF(Entradas_B!D31=Itens_B!$E31,Itens_B!$C31,0),IF(Itens_B!$D31="mitigacao",IF(Entradas_B!D31="Sim",-Itens_B!$C31,Itens_B!$C31),IF(Itens_B!$D31="evidencia",IF(Entradas_B!D31="Sim",-Itens_B!$C31,0),0))))</f>
        <v/>
      </c>
      <c r="D33">
        <f>IF(Entradas_B!E31="N/A",0,IF(Itens_B!$D31="risco",IF(Entradas_B!E31=Itens_B!$E31,Itens_B!$C31,0),IF(Itens_B!$D31="mitigacao",IF(Entradas_B!E31="Sim",-Itens_B!$C31,Itens_B!$C31),IF(Itens_B!$D31="evidencia",IF(Entradas_B!E31="Sim",-Itens_B!$C31,0),0))))</f>
        <v/>
      </c>
      <c r="E33">
        <f>IF(Entradas_B!F31="N/A",0,IF(Itens_B!$D31="risco",IF(Entradas_B!F31=Itens_B!$E31,Itens_B!$C31,0),IF(Itens_B!$D31="mitigacao",IF(Entradas_B!F31="Sim",-Itens_B!$C31,Itens_B!$C31),IF(Itens_B!$D31="evidencia",IF(Entradas_B!F31="Sim",-Itens_B!$C31,0),0))))</f>
        <v/>
      </c>
      <c r="F33">
        <f>IF(Entradas_B!G31="N/A",0,IF(Itens_B!$D31="risco",IF(Entradas_B!G31=Itens_B!$E31,Itens_B!$C31,0),IF(Itens_B!$D31="mitigacao",IF(Entradas_B!G31="Sim",-Itens_B!$C31,Itens_B!$C31),IF(Itens_B!$D31="evidencia",IF(Entradas_B!G31="Sim",-Itens_B!$C31,0),0))))</f>
        <v/>
      </c>
      <c r="G33">
        <f>IF(Entradas_B!H31="N/A",0,IF(Itens_B!$D31="risco",IF(Entradas_B!H31=Itens_B!$E31,Itens_B!$C31,0),IF(Itens_B!$D31="mitigacao",IF(Entradas_B!H31="Sim",-Itens_B!$C31,Itens_B!$C31),IF(Itens_B!$D31="evidencia",IF(Entradas_B!H31="Sim",-Itens_B!$C31,0),0))))</f>
        <v/>
      </c>
      <c r="H33">
        <f>IF(Entradas_B!I31="N/A",0,IF(Itens_B!$D31="risco",IF(Entradas_B!I31=Itens_B!$E31,Itens_B!$C31,0),IF(Itens_B!$D31="mitigacao",IF(Entradas_B!I31="Sim",-Itens_B!$C31,Itens_B!$C31),IF(Itens_B!$D31="evidencia",IF(Entradas_B!I31="Sim",-Itens_B!$C31,0),0))))</f>
        <v/>
      </c>
      <c r="I33">
        <f>IF(Entradas_B!J31="N/A",0,IF(Itens_B!$D31="risco",IF(Entradas_B!J31=Itens_B!$E31,Itens_B!$C31,0),IF(Itens_B!$D31="mitigacao",IF(Entradas_B!J31="Sim",-Itens_B!$C31,Itens_B!$C31),IF(Itens_B!$D31="evidencia",IF(Entradas_B!J31="Sim",-Itens_B!$C31,0),0))))</f>
        <v/>
      </c>
      <c r="J33">
        <f>IF(Entradas_B!K31="N/A",0,IF(Itens_B!$D31="risco",IF(Entradas_B!K31=Itens_B!$E31,Itens_B!$C31,0),IF(Itens_B!$D31="mitigacao",IF(Entradas_B!K31="Sim",-Itens_B!$C31,Itens_B!$C31),IF(Itens_B!$D31="evidencia",IF(Entradas_B!K31="Sim",-Itens_B!$C31,0),0))))</f>
        <v/>
      </c>
      <c r="K33">
        <f>IF(Entradas_B!L31="N/A",0,IF(Itens_B!$D31="risco",IF(Entradas_B!L31=Itens_B!$E31,Itens_B!$C31,0),IF(Itens_B!$D31="mitigacao",IF(Entradas_B!L31="Sim",-Itens_B!$C31,Itens_B!$C31),IF(Itens_B!$D31="evidencia",IF(Entradas_B!L31="Sim",-Itens_B!$C31,0),0))))</f>
        <v/>
      </c>
      <c r="L33">
        <f>IF(Entradas_B!M31="N/A",0,IF(Itens_B!$D31="risco",IF(Entradas_B!M31=Itens_B!$E31,Itens_B!$C31,0),IF(Itens_B!$D31="mitigacao",IF(Entradas_B!M31="Sim",-Itens_B!$C31,Itens_B!$C31),IF(Itens_B!$D31="evidencia",IF(Entradas_B!M31="Sim",-Itens_B!$C31,0),0))))</f>
        <v/>
      </c>
      <c r="M33">
        <f>IF(Entradas_B!N31="N/A",0,IF(Itens_B!$D31="risco",IF(Entradas_B!N31=Itens_B!$E31,Itens_B!$C31,0),IF(Itens_B!$D31="mitigacao",IF(Entradas_B!N31="Sim",-Itens_B!$C31,Itens_B!$C31),IF(Itens_B!$D31="evidencia",IF(Entradas_B!N31="Sim",-Itens_B!$C31,0),0))))</f>
        <v/>
      </c>
      <c r="N33">
        <f>IF(Entradas_B!O31="N/A",0,IF(Itens_B!$D31="risco",IF(Entradas_B!O31=Itens_B!$E31,Itens_B!$C31,0),IF(Itens_B!$D31="mitigacao",IF(Entradas_B!O31="Sim",-Itens_B!$C31,Itens_B!$C31),IF(Itens_B!$D31="evidencia",IF(Entradas_B!O31="Sim",-Itens_B!$C31,0),0))))</f>
        <v/>
      </c>
      <c r="O33">
        <f>IF(Entradas_B!P31="N/A",0,IF(Itens_B!$D31="risco",IF(Entradas_B!P31=Itens_B!$E31,Itens_B!$C31,0),IF(Itens_B!$D31="mitigacao",IF(Entradas_B!P31="Sim",-Itens_B!$C31,Itens_B!$C31),IF(Itens_B!$D31="evidencia",IF(Entradas_B!P31="Sim",-Itens_B!$C31,0),0))))</f>
        <v/>
      </c>
      <c r="P33">
        <f>IF(Entradas_B!Q31="N/A",0,IF(Itens_B!$D31="risco",IF(Entradas_B!Q31=Itens_B!$E31,Itens_B!$C31,0),IF(Itens_B!$D31="mitigacao",IF(Entradas_B!Q31="Sim",-Itens_B!$C31,Itens_B!$C31),IF(Itens_B!$D31="evidencia",IF(Entradas_B!Q31="Sim",-Itens_B!$C31,0),0))))</f>
        <v/>
      </c>
      <c r="Q33">
        <f>IF(Entradas_B!R31="N/A",0,IF(Itens_B!$D31="risco",IF(Entradas_B!R31=Itens_B!$E31,Itens_B!$C31,0),IF(Itens_B!$D31="mitigacao",IF(Entradas_B!R31="Sim",-Itens_B!$C31,Itens_B!$C31),IF(Itens_B!$D31="evidencia",IF(Entradas_B!R31="Sim",-Itens_B!$C31,0),0))))</f>
        <v/>
      </c>
      <c r="R33">
        <f>IF(Entradas_B!S31="N/A",0,IF(Itens_B!$D31="risco",IF(Entradas_B!S31=Itens_B!$E31,Itens_B!$C31,0),IF(Itens_B!$D31="mitigacao",IF(Entradas_B!S31="Sim",-Itens_B!$C31,Itens_B!$C31),IF(Itens_B!$D31="evidencia",IF(Entradas_B!S31="Sim",-Itens_B!$C31,0),0))))</f>
        <v/>
      </c>
      <c r="S33">
        <f>IF(Entradas_B!T31="N/A",0,IF(Itens_B!$D31="risco",IF(Entradas_B!T31=Itens_B!$E31,Itens_B!$C31,0),IF(Itens_B!$D31="mitigacao",IF(Entradas_B!T31="Sim",-Itens_B!$C31,Itens_B!$C31),IF(Itens_B!$D31="evidencia",IF(Entradas_B!T31="Sim",-Itens_B!$C31,0),0))))</f>
        <v/>
      </c>
      <c r="T33">
        <f>IF(Entradas_B!U31="N/A",0,IF(Itens_B!$D31="risco",IF(Entradas_B!U31=Itens_B!$E31,Itens_B!$C31,0),IF(Itens_B!$D31="mitigacao",IF(Entradas_B!U31="Sim",-Itens_B!$C31,Itens_B!$C31),IF(Itens_B!$D31="evidencia",IF(Entradas_B!U31="Sim",-Itens_B!$C31,0),0))))</f>
        <v/>
      </c>
      <c r="U33">
        <f>IF(Entradas_B!V31="N/A",0,IF(Itens_B!$D31="risco",IF(Entradas_B!V31=Itens_B!$E31,Itens_B!$C31,0),IF(Itens_B!$D31="mitigacao",IF(Entradas_B!V31="Sim",-Itens_B!$C31,Itens_B!$C31),IF(Itens_B!$D31="evidencia",IF(Entradas_B!V31="Sim",-Itens_B!$C31,0),0))))</f>
        <v/>
      </c>
      <c r="V33">
        <f>IF(Entradas_B!W31="N/A",0,IF(Itens_B!$D31="risco",IF(Entradas_B!W31=Itens_B!$E31,Itens_B!$C31,0),IF(Itens_B!$D31="mitigacao",IF(Entradas_B!W31="Sim",-Itens_B!$C31,Itens_B!$C31),IF(Itens_B!$D31="evidencia",IF(Entradas_B!W31="Sim",-Itens_B!$C31,0),0))))</f>
        <v/>
      </c>
      <c r="W33">
        <f>IF(Entradas_B!X31="N/A",0,IF(Itens_B!$D31="risco",IF(Entradas_B!X31=Itens_B!$E31,Itens_B!$C31,0),IF(Itens_B!$D31="mitigacao",IF(Entradas_B!X31="Sim",-Itens_B!$C31,Itens_B!$C31),IF(Itens_B!$D31="evidencia",IF(Entradas_B!X31="Sim",-Itens_B!$C31,0),0))))</f>
        <v/>
      </c>
      <c r="X33">
        <f>IF(Entradas_B!Y31="N/A",0,IF(Itens_B!$D31="risco",IF(Entradas_B!Y31=Itens_B!$E31,Itens_B!$C31,0),IF(Itens_B!$D31="mitigacao",IF(Entradas_B!Y31="Sim",-Itens_B!$C31,Itens_B!$C31),IF(Itens_B!$D31="evidencia",IF(Entradas_B!Y31="Sim",-Itens_B!$C31,0),0))))</f>
        <v/>
      </c>
      <c r="Y33">
        <f>IF(Entradas_B!Z31="N/A",0,IF(Itens_B!$D31="risco",IF(Entradas_B!Z31=Itens_B!$E31,Itens_B!$C31,0),IF(Itens_B!$D31="mitigacao",IF(Entradas_B!Z31="Sim",-Itens_B!$C31,Itens_B!$C31),IF(Itens_B!$D31="evidencia",IF(Entradas_B!Z31="Sim",-Itens_B!$C31,0),0))))</f>
        <v/>
      </c>
      <c r="Z33">
        <f>IF(Entradas_B!AA31="N/A",0,IF(Itens_B!$D31="risco",IF(Entradas_B!AA31=Itens_B!$E31,Itens_B!$C31,0),IF(Itens_B!$D31="mitigacao",IF(Entradas_B!AA31="Sim",-Itens_B!$C31,Itens_B!$C31),IF(Itens_B!$D31="evidencia",IF(Entradas_B!AA31="Sim",-Itens_B!$C31,0),0))))</f>
        <v/>
      </c>
      <c r="AA33">
        <f>IF(Entradas_B!AB31="N/A",0,IF(Itens_B!$D31="risco",IF(Entradas_B!AB31=Itens_B!$E31,Itens_B!$C31,0),IF(Itens_B!$D31="mitigacao",IF(Entradas_B!AB31="Sim",-Itens_B!$C31,Itens_B!$C31),IF(Itens_B!$D31="evidencia",IF(Entradas_B!AB31="Sim",-Itens_B!$C31,0),0))))</f>
        <v/>
      </c>
      <c r="AB33">
        <f>IF(Entradas_B!AC31="N/A",0,IF(Itens_B!$D31="risco",IF(Entradas_B!AC31=Itens_B!$E31,Itens_B!$C31,0),IF(Itens_B!$D31="mitigacao",IF(Entradas_B!AC31="Sim",-Itens_B!$C31,Itens_B!$C31),IF(Itens_B!$D31="evidencia",IF(Entradas_B!AC31="Sim",-Itens_B!$C31,0),0))))</f>
        <v/>
      </c>
      <c r="AC33">
        <f>IF(Entradas_B!AD31="N/A",0,IF(Itens_B!$D31="risco",IF(Entradas_B!AD31=Itens_B!$E31,Itens_B!$C31,0),IF(Itens_B!$D31="mitigacao",IF(Entradas_B!AD31="Sim",-Itens_B!$C31,Itens_B!$C31),IF(Itens_B!$D31="evidencia",IF(Entradas_B!AD31="Sim",-Itens_B!$C31,0),0))))</f>
        <v/>
      </c>
      <c r="AD33">
        <f>IF(Entradas_B!AE31="N/A",0,IF(Itens_B!$D31="risco",IF(Entradas_B!AE31=Itens_B!$E31,Itens_B!$C31,0),IF(Itens_B!$D31="mitigacao",IF(Entradas_B!AE31="Sim",-Itens_B!$C31,Itens_B!$C31),IF(Itens_B!$D31="evidencia",IF(Entradas_B!AE31="Sim",-Itens_B!$C31,0),0))))</f>
        <v/>
      </c>
      <c r="AE33">
        <f>IF(Entradas_B!AF31="N/A",0,IF(Itens_B!$D31="risco",IF(Entradas_B!AF31=Itens_B!$E31,Itens_B!$C31,0),IF(Itens_B!$D31="mitigacao",IF(Entradas_B!AF31="Sim",-Itens_B!$C31,Itens_B!$C31),IF(Itens_B!$D31="evidencia",IF(Entradas_B!AF31="Sim",-Itens_B!$C31,0),0))))</f>
        <v/>
      </c>
      <c r="AF33">
        <f>IF(Entradas_B!AG31="N/A",0,IF(Itens_B!$D31="risco",IF(Entradas_B!AG31=Itens_B!$E31,Itens_B!$C31,0),IF(Itens_B!$D31="mitigacao",IF(Entradas_B!AG31="Sim",-Itens_B!$C31,Itens_B!$C31),IF(Itens_B!$D31="evidencia",IF(Entradas_B!AG31="Sim",-Itens_B!$C31,0),0))))</f>
        <v/>
      </c>
    </row>
    <row r="34">
      <c r="A34" t="inlineStr">
        <is>
          <t>P5.6</t>
        </is>
      </c>
      <c r="B34">
        <f>IF(Entradas_B!C32="N/A",0,IF(Itens_B!$D32="risco",IF(Entradas_B!C32=Itens_B!$E32,Itens_B!$C32,0),IF(Itens_B!$D32="mitigacao",IF(Entradas_B!C32="Sim",-Itens_B!$C32,Itens_B!$C32),IF(Itens_B!$D32="evidencia",IF(Entradas_B!C32="Sim",-Itens_B!$C32,0),0))))</f>
        <v/>
      </c>
      <c r="C34">
        <f>IF(Entradas_B!D32="N/A",0,IF(Itens_B!$D32="risco",IF(Entradas_B!D32=Itens_B!$E32,Itens_B!$C32,0),IF(Itens_B!$D32="mitigacao",IF(Entradas_B!D32="Sim",-Itens_B!$C32,Itens_B!$C32),IF(Itens_B!$D32="evidencia",IF(Entradas_B!D32="Sim",-Itens_B!$C32,0),0))))</f>
        <v/>
      </c>
      <c r="D34">
        <f>IF(Entradas_B!E32="N/A",0,IF(Itens_B!$D32="risco",IF(Entradas_B!E32=Itens_B!$E32,Itens_B!$C32,0),IF(Itens_B!$D32="mitigacao",IF(Entradas_B!E32="Sim",-Itens_B!$C32,Itens_B!$C32),IF(Itens_B!$D32="evidencia",IF(Entradas_B!E32="Sim",-Itens_B!$C32,0),0))))</f>
        <v/>
      </c>
      <c r="E34">
        <f>IF(Entradas_B!F32="N/A",0,IF(Itens_B!$D32="risco",IF(Entradas_B!F32=Itens_B!$E32,Itens_B!$C32,0),IF(Itens_B!$D32="mitigacao",IF(Entradas_B!F32="Sim",-Itens_B!$C32,Itens_B!$C32),IF(Itens_B!$D32="evidencia",IF(Entradas_B!F32="Sim",-Itens_B!$C32,0),0))))</f>
        <v/>
      </c>
      <c r="F34">
        <f>IF(Entradas_B!G32="N/A",0,IF(Itens_B!$D32="risco",IF(Entradas_B!G32=Itens_B!$E32,Itens_B!$C32,0),IF(Itens_B!$D32="mitigacao",IF(Entradas_B!G32="Sim",-Itens_B!$C32,Itens_B!$C32),IF(Itens_B!$D32="evidencia",IF(Entradas_B!G32="Sim",-Itens_B!$C32,0),0))))</f>
        <v/>
      </c>
      <c r="G34">
        <f>IF(Entradas_B!H32="N/A",0,IF(Itens_B!$D32="risco",IF(Entradas_B!H32=Itens_B!$E32,Itens_B!$C32,0),IF(Itens_B!$D32="mitigacao",IF(Entradas_B!H32="Sim",-Itens_B!$C32,Itens_B!$C32),IF(Itens_B!$D32="evidencia",IF(Entradas_B!H32="Sim",-Itens_B!$C32,0),0))))</f>
        <v/>
      </c>
      <c r="H34">
        <f>IF(Entradas_B!I32="N/A",0,IF(Itens_B!$D32="risco",IF(Entradas_B!I32=Itens_B!$E32,Itens_B!$C32,0),IF(Itens_B!$D32="mitigacao",IF(Entradas_B!I32="Sim",-Itens_B!$C32,Itens_B!$C32),IF(Itens_B!$D32="evidencia",IF(Entradas_B!I32="Sim",-Itens_B!$C32,0),0))))</f>
        <v/>
      </c>
      <c r="I34">
        <f>IF(Entradas_B!J32="N/A",0,IF(Itens_B!$D32="risco",IF(Entradas_B!J32=Itens_B!$E32,Itens_B!$C32,0),IF(Itens_B!$D32="mitigacao",IF(Entradas_B!J32="Sim",-Itens_B!$C32,Itens_B!$C32),IF(Itens_B!$D32="evidencia",IF(Entradas_B!J32="Sim",-Itens_B!$C32,0),0))))</f>
        <v/>
      </c>
      <c r="J34">
        <f>IF(Entradas_B!K32="N/A",0,IF(Itens_B!$D32="risco",IF(Entradas_B!K32=Itens_B!$E32,Itens_B!$C32,0),IF(Itens_B!$D32="mitigacao",IF(Entradas_B!K32="Sim",-Itens_B!$C32,Itens_B!$C32),IF(Itens_B!$D32="evidencia",IF(Entradas_B!K32="Sim",-Itens_B!$C32,0),0))))</f>
        <v/>
      </c>
      <c r="K34">
        <f>IF(Entradas_B!L32="N/A",0,IF(Itens_B!$D32="risco",IF(Entradas_B!L32=Itens_B!$E32,Itens_B!$C32,0),IF(Itens_B!$D32="mitigacao",IF(Entradas_B!L32="Sim",-Itens_B!$C32,Itens_B!$C32),IF(Itens_B!$D32="evidencia",IF(Entradas_B!L32="Sim",-Itens_B!$C32,0),0))))</f>
        <v/>
      </c>
      <c r="L34">
        <f>IF(Entradas_B!M32="N/A",0,IF(Itens_B!$D32="risco",IF(Entradas_B!M32=Itens_B!$E32,Itens_B!$C32,0),IF(Itens_B!$D32="mitigacao",IF(Entradas_B!M32="Sim",-Itens_B!$C32,Itens_B!$C32),IF(Itens_B!$D32="evidencia",IF(Entradas_B!M32="Sim",-Itens_B!$C32,0),0))))</f>
        <v/>
      </c>
      <c r="M34">
        <f>IF(Entradas_B!N32="N/A",0,IF(Itens_B!$D32="risco",IF(Entradas_B!N32=Itens_B!$E32,Itens_B!$C32,0),IF(Itens_B!$D32="mitigacao",IF(Entradas_B!N32="Sim",-Itens_B!$C32,Itens_B!$C32),IF(Itens_B!$D32="evidencia",IF(Entradas_B!N32="Sim",-Itens_B!$C32,0),0))))</f>
        <v/>
      </c>
      <c r="N34">
        <f>IF(Entradas_B!O32="N/A",0,IF(Itens_B!$D32="risco",IF(Entradas_B!O32=Itens_B!$E32,Itens_B!$C32,0),IF(Itens_B!$D32="mitigacao",IF(Entradas_B!O32="Sim",-Itens_B!$C32,Itens_B!$C32),IF(Itens_B!$D32="evidencia",IF(Entradas_B!O32="Sim",-Itens_B!$C32,0),0))))</f>
        <v/>
      </c>
      <c r="O34">
        <f>IF(Entradas_B!P32="N/A",0,IF(Itens_B!$D32="risco",IF(Entradas_B!P32=Itens_B!$E32,Itens_B!$C32,0),IF(Itens_B!$D32="mitigacao",IF(Entradas_B!P32="Sim",-Itens_B!$C32,Itens_B!$C32),IF(Itens_B!$D32="evidencia",IF(Entradas_B!P32="Sim",-Itens_B!$C32,0),0))))</f>
        <v/>
      </c>
      <c r="P34">
        <f>IF(Entradas_B!Q32="N/A",0,IF(Itens_B!$D32="risco",IF(Entradas_B!Q32=Itens_B!$E32,Itens_B!$C32,0),IF(Itens_B!$D32="mitigacao",IF(Entradas_B!Q32="Sim",-Itens_B!$C32,Itens_B!$C32),IF(Itens_B!$D32="evidencia",IF(Entradas_B!Q32="Sim",-Itens_B!$C32,0),0))))</f>
        <v/>
      </c>
      <c r="Q34">
        <f>IF(Entradas_B!R32="N/A",0,IF(Itens_B!$D32="risco",IF(Entradas_B!R32=Itens_B!$E32,Itens_B!$C32,0),IF(Itens_B!$D32="mitigacao",IF(Entradas_B!R32="Sim",-Itens_B!$C32,Itens_B!$C32),IF(Itens_B!$D32="evidencia",IF(Entradas_B!R32="Sim",-Itens_B!$C32,0),0))))</f>
        <v/>
      </c>
      <c r="R34">
        <f>IF(Entradas_B!S32="N/A",0,IF(Itens_B!$D32="risco",IF(Entradas_B!S32=Itens_B!$E32,Itens_B!$C32,0),IF(Itens_B!$D32="mitigacao",IF(Entradas_B!S32="Sim",-Itens_B!$C32,Itens_B!$C32),IF(Itens_B!$D32="evidencia",IF(Entradas_B!S32="Sim",-Itens_B!$C32,0),0))))</f>
        <v/>
      </c>
      <c r="S34">
        <f>IF(Entradas_B!T32="N/A",0,IF(Itens_B!$D32="risco",IF(Entradas_B!T32=Itens_B!$E32,Itens_B!$C32,0),IF(Itens_B!$D32="mitigacao",IF(Entradas_B!T32="Sim",-Itens_B!$C32,Itens_B!$C32),IF(Itens_B!$D32="evidencia",IF(Entradas_B!T32="Sim",-Itens_B!$C32,0),0))))</f>
        <v/>
      </c>
      <c r="T34">
        <f>IF(Entradas_B!U32="N/A",0,IF(Itens_B!$D32="risco",IF(Entradas_B!U32=Itens_B!$E32,Itens_B!$C32,0),IF(Itens_B!$D32="mitigacao",IF(Entradas_B!U32="Sim",-Itens_B!$C32,Itens_B!$C32),IF(Itens_B!$D32="evidencia",IF(Entradas_B!U32="Sim",-Itens_B!$C32,0),0))))</f>
        <v/>
      </c>
      <c r="U34">
        <f>IF(Entradas_B!V32="N/A",0,IF(Itens_B!$D32="risco",IF(Entradas_B!V32=Itens_B!$E32,Itens_B!$C32,0),IF(Itens_B!$D32="mitigacao",IF(Entradas_B!V32="Sim",-Itens_B!$C32,Itens_B!$C32),IF(Itens_B!$D32="evidencia",IF(Entradas_B!V32="Sim",-Itens_B!$C32,0),0))))</f>
        <v/>
      </c>
      <c r="V34">
        <f>IF(Entradas_B!W32="N/A",0,IF(Itens_B!$D32="risco",IF(Entradas_B!W32=Itens_B!$E32,Itens_B!$C32,0),IF(Itens_B!$D32="mitigacao",IF(Entradas_B!W32="Sim",-Itens_B!$C32,Itens_B!$C32),IF(Itens_B!$D32="evidencia",IF(Entradas_B!W32="Sim",-Itens_B!$C32,0),0))))</f>
        <v/>
      </c>
      <c r="W34">
        <f>IF(Entradas_B!X32="N/A",0,IF(Itens_B!$D32="risco",IF(Entradas_B!X32=Itens_B!$E32,Itens_B!$C32,0),IF(Itens_B!$D32="mitigacao",IF(Entradas_B!X32="Sim",-Itens_B!$C32,Itens_B!$C32),IF(Itens_B!$D32="evidencia",IF(Entradas_B!X32="Sim",-Itens_B!$C32,0),0))))</f>
        <v/>
      </c>
      <c r="X34">
        <f>IF(Entradas_B!Y32="N/A",0,IF(Itens_B!$D32="risco",IF(Entradas_B!Y32=Itens_B!$E32,Itens_B!$C32,0),IF(Itens_B!$D32="mitigacao",IF(Entradas_B!Y32="Sim",-Itens_B!$C32,Itens_B!$C32),IF(Itens_B!$D32="evidencia",IF(Entradas_B!Y32="Sim",-Itens_B!$C32,0),0))))</f>
        <v/>
      </c>
      <c r="Y34">
        <f>IF(Entradas_B!Z32="N/A",0,IF(Itens_B!$D32="risco",IF(Entradas_B!Z32=Itens_B!$E32,Itens_B!$C32,0),IF(Itens_B!$D32="mitigacao",IF(Entradas_B!Z32="Sim",-Itens_B!$C32,Itens_B!$C32),IF(Itens_B!$D32="evidencia",IF(Entradas_B!Z32="Sim",-Itens_B!$C32,0),0))))</f>
        <v/>
      </c>
      <c r="Z34">
        <f>IF(Entradas_B!AA32="N/A",0,IF(Itens_B!$D32="risco",IF(Entradas_B!AA32=Itens_B!$E32,Itens_B!$C32,0),IF(Itens_B!$D32="mitigacao",IF(Entradas_B!AA32="Sim",-Itens_B!$C32,Itens_B!$C32),IF(Itens_B!$D32="evidencia",IF(Entradas_B!AA32="Sim",-Itens_B!$C32,0),0))))</f>
        <v/>
      </c>
      <c r="AA34">
        <f>IF(Entradas_B!AB32="N/A",0,IF(Itens_B!$D32="risco",IF(Entradas_B!AB32=Itens_B!$E32,Itens_B!$C32,0),IF(Itens_B!$D32="mitigacao",IF(Entradas_B!AB32="Sim",-Itens_B!$C32,Itens_B!$C32),IF(Itens_B!$D32="evidencia",IF(Entradas_B!AB32="Sim",-Itens_B!$C32,0),0))))</f>
        <v/>
      </c>
      <c r="AB34">
        <f>IF(Entradas_B!AC32="N/A",0,IF(Itens_B!$D32="risco",IF(Entradas_B!AC32=Itens_B!$E32,Itens_B!$C32,0),IF(Itens_B!$D32="mitigacao",IF(Entradas_B!AC32="Sim",-Itens_B!$C32,Itens_B!$C32),IF(Itens_B!$D32="evidencia",IF(Entradas_B!AC32="Sim",-Itens_B!$C32,0),0))))</f>
        <v/>
      </c>
      <c r="AC34">
        <f>IF(Entradas_B!AD32="N/A",0,IF(Itens_B!$D32="risco",IF(Entradas_B!AD32=Itens_B!$E32,Itens_B!$C32,0),IF(Itens_B!$D32="mitigacao",IF(Entradas_B!AD32="Sim",-Itens_B!$C32,Itens_B!$C32),IF(Itens_B!$D32="evidencia",IF(Entradas_B!AD32="Sim",-Itens_B!$C32,0),0))))</f>
        <v/>
      </c>
      <c r="AD34">
        <f>IF(Entradas_B!AE32="N/A",0,IF(Itens_B!$D32="risco",IF(Entradas_B!AE32=Itens_B!$E32,Itens_B!$C32,0),IF(Itens_B!$D32="mitigacao",IF(Entradas_B!AE32="Sim",-Itens_B!$C32,Itens_B!$C32),IF(Itens_B!$D32="evidencia",IF(Entradas_B!AE32="Sim",-Itens_B!$C32,0),0))))</f>
        <v/>
      </c>
      <c r="AE34">
        <f>IF(Entradas_B!AF32="N/A",0,IF(Itens_B!$D32="risco",IF(Entradas_B!AF32=Itens_B!$E32,Itens_B!$C32,0),IF(Itens_B!$D32="mitigacao",IF(Entradas_B!AF32="Sim",-Itens_B!$C32,Itens_B!$C32),IF(Itens_B!$D32="evidencia",IF(Entradas_B!AF32="Sim",-Itens_B!$C32,0),0))))</f>
        <v/>
      </c>
      <c r="AF34">
        <f>IF(Entradas_B!AG32="N/A",0,IF(Itens_B!$D32="risco",IF(Entradas_B!AG32=Itens_B!$E32,Itens_B!$C32,0),IF(Itens_B!$D32="mitigacao",IF(Entradas_B!AG32="Sim",-Itens_B!$C32,Itens_B!$C32),IF(Itens_B!$D32="evidencia",IF(Entradas_B!AG32="Sim",-Itens_B!$C32,0),0))))</f>
        <v/>
      </c>
    </row>
    <row r="35">
      <c r="A35" t="inlineStr">
        <is>
          <t>P5.7</t>
        </is>
      </c>
      <c r="B35">
        <f>IF(Entradas_B!C33="N/A",0,IF(Itens_B!$D33="risco",IF(Entradas_B!C33=Itens_B!$E33,Itens_B!$C33,0),IF(Itens_B!$D33="mitigacao",IF(Entradas_B!C33="Sim",-Itens_B!$C33,Itens_B!$C33),IF(Itens_B!$D33="evidencia",IF(Entradas_B!C33="Sim",-Itens_B!$C33,0),0))))</f>
        <v/>
      </c>
      <c r="C35">
        <f>IF(Entradas_B!D33="N/A",0,IF(Itens_B!$D33="risco",IF(Entradas_B!D33=Itens_B!$E33,Itens_B!$C33,0),IF(Itens_B!$D33="mitigacao",IF(Entradas_B!D33="Sim",-Itens_B!$C33,Itens_B!$C33),IF(Itens_B!$D33="evidencia",IF(Entradas_B!D33="Sim",-Itens_B!$C33,0),0))))</f>
        <v/>
      </c>
      <c r="D35">
        <f>IF(Entradas_B!E33="N/A",0,IF(Itens_B!$D33="risco",IF(Entradas_B!E33=Itens_B!$E33,Itens_B!$C33,0),IF(Itens_B!$D33="mitigacao",IF(Entradas_B!E33="Sim",-Itens_B!$C33,Itens_B!$C33),IF(Itens_B!$D33="evidencia",IF(Entradas_B!E33="Sim",-Itens_B!$C33,0),0))))</f>
        <v/>
      </c>
      <c r="E35">
        <f>IF(Entradas_B!F33="N/A",0,IF(Itens_B!$D33="risco",IF(Entradas_B!F33=Itens_B!$E33,Itens_B!$C33,0),IF(Itens_B!$D33="mitigacao",IF(Entradas_B!F33="Sim",-Itens_B!$C33,Itens_B!$C33),IF(Itens_B!$D33="evidencia",IF(Entradas_B!F33="Sim",-Itens_B!$C33,0),0))))</f>
        <v/>
      </c>
      <c r="F35">
        <f>IF(Entradas_B!G33="N/A",0,IF(Itens_B!$D33="risco",IF(Entradas_B!G33=Itens_B!$E33,Itens_B!$C33,0),IF(Itens_B!$D33="mitigacao",IF(Entradas_B!G33="Sim",-Itens_B!$C33,Itens_B!$C33),IF(Itens_B!$D33="evidencia",IF(Entradas_B!G33="Sim",-Itens_B!$C33,0),0))))</f>
        <v/>
      </c>
      <c r="G35">
        <f>IF(Entradas_B!H33="N/A",0,IF(Itens_B!$D33="risco",IF(Entradas_B!H33=Itens_B!$E33,Itens_B!$C33,0),IF(Itens_B!$D33="mitigacao",IF(Entradas_B!H33="Sim",-Itens_B!$C33,Itens_B!$C33),IF(Itens_B!$D33="evidencia",IF(Entradas_B!H33="Sim",-Itens_B!$C33,0),0))))</f>
        <v/>
      </c>
      <c r="H35">
        <f>IF(Entradas_B!I33="N/A",0,IF(Itens_B!$D33="risco",IF(Entradas_B!I33=Itens_B!$E33,Itens_B!$C33,0),IF(Itens_B!$D33="mitigacao",IF(Entradas_B!I33="Sim",-Itens_B!$C33,Itens_B!$C33),IF(Itens_B!$D33="evidencia",IF(Entradas_B!I33="Sim",-Itens_B!$C33,0),0))))</f>
        <v/>
      </c>
      <c r="I35">
        <f>IF(Entradas_B!J33="N/A",0,IF(Itens_B!$D33="risco",IF(Entradas_B!J33=Itens_B!$E33,Itens_B!$C33,0),IF(Itens_B!$D33="mitigacao",IF(Entradas_B!J33="Sim",-Itens_B!$C33,Itens_B!$C33),IF(Itens_B!$D33="evidencia",IF(Entradas_B!J33="Sim",-Itens_B!$C33,0),0))))</f>
        <v/>
      </c>
      <c r="J35">
        <f>IF(Entradas_B!K33="N/A",0,IF(Itens_B!$D33="risco",IF(Entradas_B!K33=Itens_B!$E33,Itens_B!$C33,0),IF(Itens_B!$D33="mitigacao",IF(Entradas_B!K33="Sim",-Itens_B!$C33,Itens_B!$C33),IF(Itens_B!$D33="evidencia",IF(Entradas_B!K33="Sim",-Itens_B!$C33,0),0))))</f>
        <v/>
      </c>
      <c r="K35">
        <f>IF(Entradas_B!L33="N/A",0,IF(Itens_B!$D33="risco",IF(Entradas_B!L33=Itens_B!$E33,Itens_B!$C33,0),IF(Itens_B!$D33="mitigacao",IF(Entradas_B!L33="Sim",-Itens_B!$C33,Itens_B!$C33),IF(Itens_B!$D33="evidencia",IF(Entradas_B!L33="Sim",-Itens_B!$C33,0),0))))</f>
        <v/>
      </c>
      <c r="L35">
        <f>IF(Entradas_B!M33="N/A",0,IF(Itens_B!$D33="risco",IF(Entradas_B!M33=Itens_B!$E33,Itens_B!$C33,0),IF(Itens_B!$D33="mitigacao",IF(Entradas_B!M33="Sim",-Itens_B!$C33,Itens_B!$C33),IF(Itens_B!$D33="evidencia",IF(Entradas_B!M33="Sim",-Itens_B!$C33,0),0))))</f>
        <v/>
      </c>
      <c r="M35">
        <f>IF(Entradas_B!N33="N/A",0,IF(Itens_B!$D33="risco",IF(Entradas_B!N33=Itens_B!$E33,Itens_B!$C33,0),IF(Itens_B!$D33="mitigacao",IF(Entradas_B!N33="Sim",-Itens_B!$C33,Itens_B!$C33),IF(Itens_B!$D33="evidencia",IF(Entradas_B!N33="Sim",-Itens_B!$C33,0),0))))</f>
        <v/>
      </c>
      <c r="N35">
        <f>IF(Entradas_B!O33="N/A",0,IF(Itens_B!$D33="risco",IF(Entradas_B!O33=Itens_B!$E33,Itens_B!$C33,0),IF(Itens_B!$D33="mitigacao",IF(Entradas_B!O33="Sim",-Itens_B!$C33,Itens_B!$C33),IF(Itens_B!$D33="evidencia",IF(Entradas_B!O33="Sim",-Itens_B!$C33,0),0))))</f>
        <v/>
      </c>
      <c r="O35">
        <f>IF(Entradas_B!P33="N/A",0,IF(Itens_B!$D33="risco",IF(Entradas_B!P33=Itens_B!$E33,Itens_B!$C33,0),IF(Itens_B!$D33="mitigacao",IF(Entradas_B!P33="Sim",-Itens_B!$C33,Itens_B!$C33),IF(Itens_B!$D33="evidencia",IF(Entradas_B!P33="Sim",-Itens_B!$C33,0),0))))</f>
        <v/>
      </c>
      <c r="P35">
        <f>IF(Entradas_B!Q33="N/A",0,IF(Itens_B!$D33="risco",IF(Entradas_B!Q33=Itens_B!$E33,Itens_B!$C33,0),IF(Itens_B!$D33="mitigacao",IF(Entradas_B!Q33="Sim",-Itens_B!$C33,Itens_B!$C33),IF(Itens_B!$D33="evidencia",IF(Entradas_B!Q33="Sim",-Itens_B!$C33,0),0))))</f>
        <v/>
      </c>
      <c r="Q35">
        <f>IF(Entradas_B!R33="N/A",0,IF(Itens_B!$D33="risco",IF(Entradas_B!R33=Itens_B!$E33,Itens_B!$C33,0),IF(Itens_B!$D33="mitigacao",IF(Entradas_B!R33="Sim",-Itens_B!$C33,Itens_B!$C33),IF(Itens_B!$D33="evidencia",IF(Entradas_B!R33="Sim",-Itens_B!$C33,0),0))))</f>
        <v/>
      </c>
      <c r="R35">
        <f>IF(Entradas_B!S33="N/A",0,IF(Itens_B!$D33="risco",IF(Entradas_B!S33=Itens_B!$E33,Itens_B!$C33,0),IF(Itens_B!$D33="mitigacao",IF(Entradas_B!S33="Sim",-Itens_B!$C33,Itens_B!$C33),IF(Itens_B!$D33="evidencia",IF(Entradas_B!S33="Sim",-Itens_B!$C33,0),0))))</f>
        <v/>
      </c>
      <c r="S35">
        <f>IF(Entradas_B!T33="N/A",0,IF(Itens_B!$D33="risco",IF(Entradas_B!T33=Itens_B!$E33,Itens_B!$C33,0),IF(Itens_B!$D33="mitigacao",IF(Entradas_B!T33="Sim",-Itens_B!$C33,Itens_B!$C33),IF(Itens_B!$D33="evidencia",IF(Entradas_B!T33="Sim",-Itens_B!$C33,0),0))))</f>
        <v/>
      </c>
      <c r="T35">
        <f>IF(Entradas_B!U33="N/A",0,IF(Itens_B!$D33="risco",IF(Entradas_B!U33=Itens_B!$E33,Itens_B!$C33,0),IF(Itens_B!$D33="mitigacao",IF(Entradas_B!U33="Sim",-Itens_B!$C33,Itens_B!$C33),IF(Itens_B!$D33="evidencia",IF(Entradas_B!U33="Sim",-Itens_B!$C33,0),0))))</f>
        <v/>
      </c>
      <c r="U35">
        <f>IF(Entradas_B!V33="N/A",0,IF(Itens_B!$D33="risco",IF(Entradas_B!V33=Itens_B!$E33,Itens_B!$C33,0),IF(Itens_B!$D33="mitigacao",IF(Entradas_B!V33="Sim",-Itens_B!$C33,Itens_B!$C33),IF(Itens_B!$D33="evidencia",IF(Entradas_B!V33="Sim",-Itens_B!$C33,0),0))))</f>
        <v/>
      </c>
      <c r="V35">
        <f>IF(Entradas_B!W33="N/A",0,IF(Itens_B!$D33="risco",IF(Entradas_B!W33=Itens_B!$E33,Itens_B!$C33,0),IF(Itens_B!$D33="mitigacao",IF(Entradas_B!W33="Sim",-Itens_B!$C33,Itens_B!$C33),IF(Itens_B!$D33="evidencia",IF(Entradas_B!W33="Sim",-Itens_B!$C33,0),0))))</f>
        <v/>
      </c>
      <c r="W35">
        <f>IF(Entradas_B!X33="N/A",0,IF(Itens_B!$D33="risco",IF(Entradas_B!X33=Itens_B!$E33,Itens_B!$C33,0),IF(Itens_B!$D33="mitigacao",IF(Entradas_B!X33="Sim",-Itens_B!$C33,Itens_B!$C33),IF(Itens_B!$D33="evidencia",IF(Entradas_B!X33="Sim",-Itens_B!$C33,0),0))))</f>
        <v/>
      </c>
      <c r="X35">
        <f>IF(Entradas_B!Y33="N/A",0,IF(Itens_B!$D33="risco",IF(Entradas_B!Y33=Itens_B!$E33,Itens_B!$C33,0),IF(Itens_B!$D33="mitigacao",IF(Entradas_B!Y33="Sim",-Itens_B!$C33,Itens_B!$C33),IF(Itens_B!$D33="evidencia",IF(Entradas_B!Y33="Sim",-Itens_B!$C33,0),0))))</f>
        <v/>
      </c>
      <c r="Y35">
        <f>IF(Entradas_B!Z33="N/A",0,IF(Itens_B!$D33="risco",IF(Entradas_B!Z33=Itens_B!$E33,Itens_B!$C33,0),IF(Itens_B!$D33="mitigacao",IF(Entradas_B!Z33="Sim",-Itens_B!$C33,Itens_B!$C33),IF(Itens_B!$D33="evidencia",IF(Entradas_B!Z33="Sim",-Itens_B!$C33,0),0))))</f>
        <v/>
      </c>
      <c r="Z35">
        <f>IF(Entradas_B!AA33="N/A",0,IF(Itens_B!$D33="risco",IF(Entradas_B!AA33=Itens_B!$E33,Itens_B!$C33,0),IF(Itens_B!$D33="mitigacao",IF(Entradas_B!AA33="Sim",-Itens_B!$C33,Itens_B!$C33),IF(Itens_B!$D33="evidencia",IF(Entradas_B!AA33="Sim",-Itens_B!$C33,0),0))))</f>
        <v/>
      </c>
      <c r="AA35">
        <f>IF(Entradas_B!AB33="N/A",0,IF(Itens_B!$D33="risco",IF(Entradas_B!AB33=Itens_B!$E33,Itens_B!$C33,0),IF(Itens_B!$D33="mitigacao",IF(Entradas_B!AB33="Sim",-Itens_B!$C33,Itens_B!$C33),IF(Itens_B!$D33="evidencia",IF(Entradas_B!AB33="Sim",-Itens_B!$C33,0),0))))</f>
        <v/>
      </c>
      <c r="AB35">
        <f>IF(Entradas_B!AC33="N/A",0,IF(Itens_B!$D33="risco",IF(Entradas_B!AC33=Itens_B!$E33,Itens_B!$C33,0),IF(Itens_B!$D33="mitigacao",IF(Entradas_B!AC33="Sim",-Itens_B!$C33,Itens_B!$C33),IF(Itens_B!$D33="evidencia",IF(Entradas_B!AC33="Sim",-Itens_B!$C33,0),0))))</f>
        <v/>
      </c>
      <c r="AC35">
        <f>IF(Entradas_B!AD33="N/A",0,IF(Itens_B!$D33="risco",IF(Entradas_B!AD33=Itens_B!$E33,Itens_B!$C33,0),IF(Itens_B!$D33="mitigacao",IF(Entradas_B!AD33="Sim",-Itens_B!$C33,Itens_B!$C33),IF(Itens_B!$D33="evidencia",IF(Entradas_B!AD33="Sim",-Itens_B!$C33,0),0))))</f>
        <v/>
      </c>
      <c r="AD35">
        <f>IF(Entradas_B!AE33="N/A",0,IF(Itens_B!$D33="risco",IF(Entradas_B!AE33=Itens_B!$E33,Itens_B!$C33,0),IF(Itens_B!$D33="mitigacao",IF(Entradas_B!AE33="Sim",-Itens_B!$C33,Itens_B!$C33),IF(Itens_B!$D33="evidencia",IF(Entradas_B!AE33="Sim",-Itens_B!$C33,0),0))))</f>
        <v/>
      </c>
      <c r="AE35">
        <f>IF(Entradas_B!AF33="N/A",0,IF(Itens_B!$D33="risco",IF(Entradas_B!AF33=Itens_B!$E33,Itens_B!$C33,0),IF(Itens_B!$D33="mitigacao",IF(Entradas_B!AF33="Sim",-Itens_B!$C33,Itens_B!$C33),IF(Itens_B!$D33="evidencia",IF(Entradas_B!AF33="Sim",-Itens_B!$C33,0),0))))</f>
        <v/>
      </c>
      <c r="AF35">
        <f>IF(Entradas_B!AG33="N/A",0,IF(Itens_B!$D33="risco",IF(Entradas_B!AG33=Itens_B!$E33,Itens_B!$C33,0),IF(Itens_B!$D33="mitigacao",IF(Entradas_B!AG33="Sim",-Itens_B!$C33,Itens_B!$C33),IF(Itens_B!$D33="evidencia",IF(Entradas_B!AG33="Sim",-Itens_B!$C33,0),0))))</f>
        <v/>
      </c>
    </row>
    <row r="36">
      <c r="A36" t="inlineStr">
        <is>
          <t>P5.8</t>
        </is>
      </c>
      <c r="B36">
        <f>IF(Entradas_B!C34="N/A",0,IF(Itens_B!$D34="risco",IF(Entradas_B!C34=Itens_B!$E34,Itens_B!$C34,0),IF(Itens_B!$D34="mitigacao",IF(Entradas_B!C34="Sim",-Itens_B!$C34,Itens_B!$C34),IF(Itens_B!$D34="evidencia",IF(Entradas_B!C34="Sim",-Itens_B!$C34,0),0))))</f>
        <v/>
      </c>
      <c r="C36">
        <f>IF(Entradas_B!D34="N/A",0,IF(Itens_B!$D34="risco",IF(Entradas_B!D34=Itens_B!$E34,Itens_B!$C34,0),IF(Itens_B!$D34="mitigacao",IF(Entradas_B!D34="Sim",-Itens_B!$C34,Itens_B!$C34),IF(Itens_B!$D34="evidencia",IF(Entradas_B!D34="Sim",-Itens_B!$C34,0),0))))</f>
        <v/>
      </c>
      <c r="D36">
        <f>IF(Entradas_B!E34="N/A",0,IF(Itens_B!$D34="risco",IF(Entradas_B!E34=Itens_B!$E34,Itens_B!$C34,0),IF(Itens_B!$D34="mitigacao",IF(Entradas_B!E34="Sim",-Itens_B!$C34,Itens_B!$C34),IF(Itens_B!$D34="evidencia",IF(Entradas_B!E34="Sim",-Itens_B!$C34,0),0))))</f>
        <v/>
      </c>
      <c r="E36">
        <f>IF(Entradas_B!F34="N/A",0,IF(Itens_B!$D34="risco",IF(Entradas_B!F34=Itens_B!$E34,Itens_B!$C34,0),IF(Itens_B!$D34="mitigacao",IF(Entradas_B!F34="Sim",-Itens_B!$C34,Itens_B!$C34),IF(Itens_B!$D34="evidencia",IF(Entradas_B!F34="Sim",-Itens_B!$C34,0),0))))</f>
        <v/>
      </c>
      <c r="F36">
        <f>IF(Entradas_B!G34="N/A",0,IF(Itens_B!$D34="risco",IF(Entradas_B!G34=Itens_B!$E34,Itens_B!$C34,0),IF(Itens_B!$D34="mitigacao",IF(Entradas_B!G34="Sim",-Itens_B!$C34,Itens_B!$C34),IF(Itens_B!$D34="evidencia",IF(Entradas_B!G34="Sim",-Itens_B!$C34,0),0))))</f>
        <v/>
      </c>
      <c r="G36">
        <f>IF(Entradas_B!H34="N/A",0,IF(Itens_B!$D34="risco",IF(Entradas_B!H34=Itens_B!$E34,Itens_B!$C34,0),IF(Itens_B!$D34="mitigacao",IF(Entradas_B!H34="Sim",-Itens_B!$C34,Itens_B!$C34),IF(Itens_B!$D34="evidencia",IF(Entradas_B!H34="Sim",-Itens_B!$C34,0),0))))</f>
        <v/>
      </c>
      <c r="H36">
        <f>IF(Entradas_B!I34="N/A",0,IF(Itens_B!$D34="risco",IF(Entradas_B!I34=Itens_B!$E34,Itens_B!$C34,0),IF(Itens_B!$D34="mitigacao",IF(Entradas_B!I34="Sim",-Itens_B!$C34,Itens_B!$C34),IF(Itens_B!$D34="evidencia",IF(Entradas_B!I34="Sim",-Itens_B!$C34,0),0))))</f>
        <v/>
      </c>
      <c r="I36">
        <f>IF(Entradas_B!J34="N/A",0,IF(Itens_B!$D34="risco",IF(Entradas_B!J34=Itens_B!$E34,Itens_B!$C34,0),IF(Itens_B!$D34="mitigacao",IF(Entradas_B!J34="Sim",-Itens_B!$C34,Itens_B!$C34),IF(Itens_B!$D34="evidencia",IF(Entradas_B!J34="Sim",-Itens_B!$C34,0),0))))</f>
        <v/>
      </c>
      <c r="J36">
        <f>IF(Entradas_B!K34="N/A",0,IF(Itens_B!$D34="risco",IF(Entradas_B!K34=Itens_B!$E34,Itens_B!$C34,0),IF(Itens_B!$D34="mitigacao",IF(Entradas_B!K34="Sim",-Itens_B!$C34,Itens_B!$C34),IF(Itens_B!$D34="evidencia",IF(Entradas_B!K34="Sim",-Itens_B!$C34,0),0))))</f>
        <v/>
      </c>
      <c r="K36">
        <f>IF(Entradas_B!L34="N/A",0,IF(Itens_B!$D34="risco",IF(Entradas_B!L34=Itens_B!$E34,Itens_B!$C34,0),IF(Itens_B!$D34="mitigacao",IF(Entradas_B!L34="Sim",-Itens_B!$C34,Itens_B!$C34),IF(Itens_B!$D34="evidencia",IF(Entradas_B!L34="Sim",-Itens_B!$C34,0),0))))</f>
        <v/>
      </c>
      <c r="L36">
        <f>IF(Entradas_B!M34="N/A",0,IF(Itens_B!$D34="risco",IF(Entradas_B!M34=Itens_B!$E34,Itens_B!$C34,0),IF(Itens_B!$D34="mitigacao",IF(Entradas_B!M34="Sim",-Itens_B!$C34,Itens_B!$C34),IF(Itens_B!$D34="evidencia",IF(Entradas_B!M34="Sim",-Itens_B!$C34,0),0))))</f>
        <v/>
      </c>
      <c r="M36">
        <f>IF(Entradas_B!N34="N/A",0,IF(Itens_B!$D34="risco",IF(Entradas_B!N34=Itens_B!$E34,Itens_B!$C34,0),IF(Itens_B!$D34="mitigacao",IF(Entradas_B!N34="Sim",-Itens_B!$C34,Itens_B!$C34),IF(Itens_B!$D34="evidencia",IF(Entradas_B!N34="Sim",-Itens_B!$C34,0),0))))</f>
        <v/>
      </c>
      <c r="N36">
        <f>IF(Entradas_B!O34="N/A",0,IF(Itens_B!$D34="risco",IF(Entradas_B!O34=Itens_B!$E34,Itens_B!$C34,0),IF(Itens_B!$D34="mitigacao",IF(Entradas_B!O34="Sim",-Itens_B!$C34,Itens_B!$C34),IF(Itens_B!$D34="evidencia",IF(Entradas_B!O34="Sim",-Itens_B!$C34,0),0))))</f>
        <v/>
      </c>
      <c r="O36">
        <f>IF(Entradas_B!P34="N/A",0,IF(Itens_B!$D34="risco",IF(Entradas_B!P34=Itens_B!$E34,Itens_B!$C34,0),IF(Itens_B!$D34="mitigacao",IF(Entradas_B!P34="Sim",-Itens_B!$C34,Itens_B!$C34),IF(Itens_B!$D34="evidencia",IF(Entradas_B!P34="Sim",-Itens_B!$C34,0),0))))</f>
        <v/>
      </c>
      <c r="P36">
        <f>IF(Entradas_B!Q34="N/A",0,IF(Itens_B!$D34="risco",IF(Entradas_B!Q34=Itens_B!$E34,Itens_B!$C34,0),IF(Itens_B!$D34="mitigacao",IF(Entradas_B!Q34="Sim",-Itens_B!$C34,Itens_B!$C34),IF(Itens_B!$D34="evidencia",IF(Entradas_B!Q34="Sim",-Itens_B!$C34,0),0))))</f>
        <v/>
      </c>
      <c r="Q36">
        <f>IF(Entradas_B!R34="N/A",0,IF(Itens_B!$D34="risco",IF(Entradas_B!R34=Itens_B!$E34,Itens_B!$C34,0),IF(Itens_B!$D34="mitigacao",IF(Entradas_B!R34="Sim",-Itens_B!$C34,Itens_B!$C34),IF(Itens_B!$D34="evidencia",IF(Entradas_B!R34="Sim",-Itens_B!$C34,0),0))))</f>
        <v/>
      </c>
      <c r="R36">
        <f>IF(Entradas_B!S34="N/A",0,IF(Itens_B!$D34="risco",IF(Entradas_B!S34=Itens_B!$E34,Itens_B!$C34,0),IF(Itens_B!$D34="mitigacao",IF(Entradas_B!S34="Sim",-Itens_B!$C34,Itens_B!$C34),IF(Itens_B!$D34="evidencia",IF(Entradas_B!S34="Sim",-Itens_B!$C34,0),0))))</f>
        <v/>
      </c>
      <c r="S36">
        <f>IF(Entradas_B!T34="N/A",0,IF(Itens_B!$D34="risco",IF(Entradas_B!T34=Itens_B!$E34,Itens_B!$C34,0),IF(Itens_B!$D34="mitigacao",IF(Entradas_B!T34="Sim",-Itens_B!$C34,Itens_B!$C34),IF(Itens_B!$D34="evidencia",IF(Entradas_B!T34="Sim",-Itens_B!$C34,0),0))))</f>
        <v/>
      </c>
      <c r="T36">
        <f>IF(Entradas_B!U34="N/A",0,IF(Itens_B!$D34="risco",IF(Entradas_B!U34=Itens_B!$E34,Itens_B!$C34,0),IF(Itens_B!$D34="mitigacao",IF(Entradas_B!U34="Sim",-Itens_B!$C34,Itens_B!$C34),IF(Itens_B!$D34="evidencia",IF(Entradas_B!U34="Sim",-Itens_B!$C34,0),0))))</f>
        <v/>
      </c>
      <c r="U36">
        <f>IF(Entradas_B!V34="N/A",0,IF(Itens_B!$D34="risco",IF(Entradas_B!V34=Itens_B!$E34,Itens_B!$C34,0),IF(Itens_B!$D34="mitigacao",IF(Entradas_B!V34="Sim",-Itens_B!$C34,Itens_B!$C34),IF(Itens_B!$D34="evidencia",IF(Entradas_B!V34="Sim",-Itens_B!$C34,0),0))))</f>
        <v/>
      </c>
      <c r="V36">
        <f>IF(Entradas_B!W34="N/A",0,IF(Itens_B!$D34="risco",IF(Entradas_B!W34=Itens_B!$E34,Itens_B!$C34,0),IF(Itens_B!$D34="mitigacao",IF(Entradas_B!W34="Sim",-Itens_B!$C34,Itens_B!$C34),IF(Itens_B!$D34="evidencia",IF(Entradas_B!W34="Sim",-Itens_B!$C34,0),0))))</f>
        <v/>
      </c>
      <c r="W36">
        <f>IF(Entradas_B!X34="N/A",0,IF(Itens_B!$D34="risco",IF(Entradas_B!X34=Itens_B!$E34,Itens_B!$C34,0),IF(Itens_B!$D34="mitigacao",IF(Entradas_B!X34="Sim",-Itens_B!$C34,Itens_B!$C34),IF(Itens_B!$D34="evidencia",IF(Entradas_B!X34="Sim",-Itens_B!$C34,0),0))))</f>
        <v/>
      </c>
      <c r="X36">
        <f>IF(Entradas_B!Y34="N/A",0,IF(Itens_B!$D34="risco",IF(Entradas_B!Y34=Itens_B!$E34,Itens_B!$C34,0),IF(Itens_B!$D34="mitigacao",IF(Entradas_B!Y34="Sim",-Itens_B!$C34,Itens_B!$C34),IF(Itens_B!$D34="evidencia",IF(Entradas_B!Y34="Sim",-Itens_B!$C34,0),0))))</f>
        <v/>
      </c>
      <c r="Y36">
        <f>IF(Entradas_B!Z34="N/A",0,IF(Itens_B!$D34="risco",IF(Entradas_B!Z34=Itens_B!$E34,Itens_B!$C34,0),IF(Itens_B!$D34="mitigacao",IF(Entradas_B!Z34="Sim",-Itens_B!$C34,Itens_B!$C34),IF(Itens_B!$D34="evidencia",IF(Entradas_B!Z34="Sim",-Itens_B!$C34,0),0))))</f>
        <v/>
      </c>
      <c r="Z36">
        <f>IF(Entradas_B!AA34="N/A",0,IF(Itens_B!$D34="risco",IF(Entradas_B!AA34=Itens_B!$E34,Itens_B!$C34,0),IF(Itens_B!$D34="mitigacao",IF(Entradas_B!AA34="Sim",-Itens_B!$C34,Itens_B!$C34),IF(Itens_B!$D34="evidencia",IF(Entradas_B!AA34="Sim",-Itens_B!$C34,0),0))))</f>
        <v/>
      </c>
      <c r="AA36">
        <f>IF(Entradas_B!AB34="N/A",0,IF(Itens_B!$D34="risco",IF(Entradas_B!AB34=Itens_B!$E34,Itens_B!$C34,0),IF(Itens_B!$D34="mitigacao",IF(Entradas_B!AB34="Sim",-Itens_B!$C34,Itens_B!$C34),IF(Itens_B!$D34="evidencia",IF(Entradas_B!AB34="Sim",-Itens_B!$C34,0),0))))</f>
        <v/>
      </c>
      <c r="AB36">
        <f>IF(Entradas_B!AC34="N/A",0,IF(Itens_B!$D34="risco",IF(Entradas_B!AC34=Itens_B!$E34,Itens_B!$C34,0),IF(Itens_B!$D34="mitigacao",IF(Entradas_B!AC34="Sim",-Itens_B!$C34,Itens_B!$C34),IF(Itens_B!$D34="evidencia",IF(Entradas_B!AC34="Sim",-Itens_B!$C34,0),0))))</f>
        <v/>
      </c>
      <c r="AC36">
        <f>IF(Entradas_B!AD34="N/A",0,IF(Itens_B!$D34="risco",IF(Entradas_B!AD34=Itens_B!$E34,Itens_B!$C34,0),IF(Itens_B!$D34="mitigacao",IF(Entradas_B!AD34="Sim",-Itens_B!$C34,Itens_B!$C34),IF(Itens_B!$D34="evidencia",IF(Entradas_B!AD34="Sim",-Itens_B!$C34,0),0))))</f>
        <v/>
      </c>
      <c r="AD36">
        <f>IF(Entradas_B!AE34="N/A",0,IF(Itens_B!$D34="risco",IF(Entradas_B!AE34=Itens_B!$E34,Itens_B!$C34,0),IF(Itens_B!$D34="mitigacao",IF(Entradas_B!AE34="Sim",-Itens_B!$C34,Itens_B!$C34),IF(Itens_B!$D34="evidencia",IF(Entradas_B!AE34="Sim",-Itens_B!$C34,0),0))))</f>
        <v/>
      </c>
      <c r="AE36">
        <f>IF(Entradas_B!AF34="N/A",0,IF(Itens_B!$D34="risco",IF(Entradas_B!AF34=Itens_B!$E34,Itens_B!$C34,0),IF(Itens_B!$D34="mitigacao",IF(Entradas_B!AF34="Sim",-Itens_B!$C34,Itens_B!$C34),IF(Itens_B!$D34="evidencia",IF(Entradas_B!AF34="Sim",-Itens_B!$C34,0),0))))</f>
        <v/>
      </c>
      <c r="AF36">
        <f>IF(Entradas_B!AG34="N/A",0,IF(Itens_B!$D34="risco",IF(Entradas_B!AG34=Itens_B!$E34,Itens_B!$C34,0),IF(Itens_B!$D34="mitigacao",IF(Entradas_B!AG34="Sim",-Itens_B!$C34,Itens_B!$C34),IF(Itens_B!$D34="evidencia",IF(Entradas_B!AG34="Sim",-Itens_B!$C34,0),0))))</f>
        <v/>
      </c>
    </row>
    <row r="37">
      <c r="A37" t="inlineStr">
        <is>
          <t>P5.9</t>
        </is>
      </c>
      <c r="B37">
        <f>IF(Entradas_B!C35="N/A",0,IF(Itens_B!$D35="risco",IF(Entradas_B!C35=Itens_B!$E35,Itens_B!$C35,0),IF(Itens_B!$D35="mitigacao",IF(Entradas_B!C35="Sim",-Itens_B!$C35,Itens_B!$C35),IF(Itens_B!$D35="evidencia",IF(Entradas_B!C35="Sim",-Itens_B!$C35,0),0))))</f>
        <v/>
      </c>
      <c r="C37">
        <f>IF(Entradas_B!D35="N/A",0,IF(Itens_B!$D35="risco",IF(Entradas_B!D35=Itens_B!$E35,Itens_B!$C35,0),IF(Itens_B!$D35="mitigacao",IF(Entradas_B!D35="Sim",-Itens_B!$C35,Itens_B!$C35),IF(Itens_B!$D35="evidencia",IF(Entradas_B!D35="Sim",-Itens_B!$C35,0),0))))</f>
        <v/>
      </c>
      <c r="D37">
        <f>IF(Entradas_B!E35="N/A",0,IF(Itens_B!$D35="risco",IF(Entradas_B!E35=Itens_B!$E35,Itens_B!$C35,0),IF(Itens_B!$D35="mitigacao",IF(Entradas_B!E35="Sim",-Itens_B!$C35,Itens_B!$C35),IF(Itens_B!$D35="evidencia",IF(Entradas_B!E35="Sim",-Itens_B!$C35,0),0))))</f>
        <v/>
      </c>
      <c r="E37">
        <f>IF(Entradas_B!F35="N/A",0,IF(Itens_B!$D35="risco",IF(Entradas_B!F35=Itens_B!$E35,Itens_B!$C35,0),IF(Itens_B!$D35="mitigacao",IF(Entradas_B!F35="Sim",-Itens_B!$C35,Itens_B!$C35),IF(Itens_B!$D35="evidencia",IF(Entradas_B!F35="Sim",-Itens_B!$C35,0),0))))</f>
        <v/>
      </c>
      <c r="F37">
        <f>IF(Entradas_B!G35="N/A",0,IF(Itens_B!$D35="risco",IF(Entradas_B!G35=Itens_B!$E35,Itens_B!$C35,0),IF(Itens_B!$D35="mitigacao",IF(Entradas_B!G35="Sim",-Itens_B!$C35,Itens_B!$C35),IF(Itens_B!$D35="evidencia",IF(Entradas_B!G35="Sim",-Itens_B!$C35,0),0))))</f>
        <v/>
      </c>
      <c r="G37">
        <f>IF(Entradas_B!H35="N/A",0,IF(Itens_B!$D35="risco",IF(Entradas_B!H35=Itens_B!$E35,Itens_B!$C35,0),IF(Itens_B!$D35="mitigacao",IF(Entradas_B!H35="Sim",-Itens_B!$C35,Itens_B!$C35),IF(Itens_B!$D35="evidencia",IF(Entradas_B!H35="Sim",-Itens_B!$C35,0),0))))</f>
        <v/>
      </c>
      <c r="H37">
        <f>IF(Entradas_B!I35="N/A",0,IF(Itens_B!$D35="risco",IF(Entradas_B!I35=Itens_B!$E35,Itens_B!$C35,0),IF(Itens_B!$D35="mitigacao",IF(Entradas_B!I35="Sim",-Itens_B!$C35,Itens_B!$C35),IF(Itens_B!$D35="evidencia",IF(Entradas_B!I35="Sim",-Itens_B!$C35,0),0))))</f>
        <v/>
      </c>
      <c r="I37">
        <f>IF(Entradas_B!J35="N/A",0,IF(Itens_B!$D35="risco",IF(Entradas_B!J35=Itens_B!$E35,Itens_B!$C35,0),IF(Itens_B!$D35="mitigacao",IF(Entradas_B!J35="Sim",-Itens_B!$C35,Itens_B!$C35),IF(Itens_B!$D35="evidencia",IF(Entradas_B!J35="Sim",-Itens_B!$C35,0),0))))</f>
        <v/>
      </c>
      <c r="J37">
        <f>IF(Entradas_B!K35="N/A",0,IF(Itens_B!$D35="risco",IF(Entradas_B!K35=Itens_B!$E35,Itens_B!$C35,0),IF(Itens_B!$D35="mitigacao",IF(Entradas_B!K35="Sim",-Itens_B!$C35,Itens_B!$C35),IF(Itens_B!$D35="evidencia",IF(Entradas_B!K35="Sim",-Itens_B!$C35,0),0))))</f>
        <v/>
      </c>
      <c r="K37">
        <f>IF(Entradas_B!L35="N/A",0,IF(Itens_B!$D35="risco",IF(Entradas_B!L35=Itens_B!$E35,Itens_B!$C35,0),IF(Itens_B!$D35="mitigacao",IF(Entradas_B!L35="Sim",-Itens_B!$C35,Itens_B!$C35),IF(Itens_B!$D35="evidencia",IF(Entradas_B!L35="Sim",-Itens_B!$C35,0),0))))</f>
        <v/>
      </c>
      <c r="L37">
        <f>IF(Entradas_B!M35="N/A",0,IF(Itens_B!$D35="risco",IF(Entradas_B!M35=Itens_B!$E35,Itens_B!$C35,0),IF(Itens_B!$D35="mitigacao",IF(Entradas_B!M35="Sim",-Itens_B!$C35,Itens_B!$C35),IF(Itens_B!$D35="evidencia",IF(Entradas_B!M35="Sim",-Itens_B!$C35,0),0))))</f>
        <v/>
      </c>
      <c r="M37">
        <f>IF(Entradas_B!N35="N/A",0,IF(Itens_B!$D35="risco",IF(Entradas_B!N35=Itens_B!$E35,Itens_B!$C35,0),IF(Itens_B!$D35="mitigacao",IF(Entradas_B!N35="Sim",-Itens_B!$C35,Itens_B!$C35),IF(Itens_B!$D35="evidencia",IF(Entradas_B!N35="Sim",-Itens_B!$C35,0),0))))</f>
        <v/>
      </c>
      <c r="N37">
        <f>IF(Entradas_B!O35="N/A",0,IF(Itens_B!$D35="risco",IF(Entradas_B!O35=Itens_B!$E35,Itens_B!$C35,0),IF(Itens_B!$D35="mitigacao",IF(Entradas_B!O35="Sim",-Itens_B!$C35,Itens_B!$C35),IF(Itens_B!$D35="evidencia",IF(Entradas_B!O35="Sim",-Itens_B!$C35,0),0))))</f>
        <v/>
      </c>
      <c r="O37">
        <f>IF(Entradas_B!P35="N/A",0,IF(Itens_B!$D35="risco",IF(Entradas_B!P35=Itens_B!$E35,Itens_B!$C35,0),IF(Itens_B!$D35="mitigacao",IF(Entradas_B!P35="Sim",-Itens_B!$C35,Itens_B!$C35),IF(Itens_B!$D35="evidencia",IF(Entradas_B!P35="Sim",-Itens_B!$C35,0),0))))</f>
        <v/>
      </c>
      <c r="P37">
        <f>IF(Entradas_B!Q35="N/A",0,IF(Itens_B!$D35="risco",IF(Entradas_B!Q35=Itens_B!$E35,Itens_B!$C35,0),IF(Itens_B!$D35="mitigacao",IF(Entradas_B!Q35="Sim",-Itens_B!$C35,Itens_B!$C35),IF(Itens_B!$D35="evidencia",IF(Entradas_B!Q35="Sim",-Itens_B!$C35,0),0))))</f>
        <v/>
      </c>
      <c r="Q37">
        <f>IF(Entradas_B!R35="N/A",0,IF(Itens_B!$D35="risco",IF(Entradas_B!R35=Itens_B!$E35,Itens_B!$C35,0),IF(Itens_B!$D35="mitigacao",IF(Entradas_B!R35="Sim",-Itens_B!$C35,Itens_B!$C35),IF(Itens_B!$D35="evidencia",IF(Entradas_B!R35="Sim",-Itens_B!$C35,0),0))))</f>
        <v/>
      </c>
      <c r="R37">
        <f>IF(Entradas_B!S35="N/A",0,IF(Itens_B!$D35="risco",IF(Entradas_B!S35=Itens_B!$E35,Itens_B!$C35,0),IF(Itens_B!$D35="mitigacao",IF(Entradas_B!S35="Sim",-Itens_B!$C35,Itens_B!$C35),IF(Itens_B!$D35="evidencia",IF(Entradas_B!S35="Sim",-Itens_B!$C35,0),0))))</f>
        <v/>
      </c>
      <c r="S37">
        <f>IF(Entradas_B!T35="N/A",0,IF(Itens_B!$D35="risco",IF(Entradas_B!T35=Itens_B!$E35,Itens_B!$C35,0),IF(Itens_B!$D35="mitigacao",IF(Entradas_B!T35="Sim",-Itens_B!$C35,Itens_B!$C35),IF(Itens_B!$D35="evidencia",IF(Entradas_B!T35="Sim",-Itens_B!$C35,0),0))))</f>
        <v/>
      </c>
      <c r="T37">
        <f>IF(Entradas_B!U35="N/A",0,IF(Itens_B!$D35="risco",IF(Entradas_B!U35=Itens_B!$E35,Itens_B!$C35,0),IF(Itens_B!$D35="mitigacao",IF(Entradas_B!U35="Sim",-Itens_B!$C35,Itens_B!$C35),IF(Itens_B!$D35="evidencia",IF(Entradas_B!U35="Sim",-Itens_B!$C35,0),0))))</f>
        <v/>
      </c>
      <c r="U37">
        <f>IF(Entradas_B!V35="N/A",0,IF(Itens_B!$D35="risco",IF(Entradas_B!V35=Itens_B!$E35,Itens_B!$C35,0),IF(Itens_B!$D35="mitigacao",IF(Entradas_B!V35="Sim",-Itens_B!$C35,Itens_B!$C35),IF(Itens_B!$D35="evidencia",IF(Entradas_B!V35="Sim",-Itens_B!$C35,0),0))))</f>
        <v/>
      </c>
      <c r="V37">
        <f>IF(Entradas_B!W35="N/A",0,IF(Itens_B!$D35="risco",IF(Entradas_B!W35=Itens_B!$E35,Itens_B!$C35,0),IF(Itens_B!$D35="mitigacao",IF(Entradas_B!W35="Sim",-Itens_B!$C35,Itens_B!$C35),IF(Itens_B!$D35="evidencia",IF(Entradas_B!W35="Sim",-Itens_B!$C35,0),0))))</f>
        <v/>
      </c>
      <c r="W37">
        <f>IF(Entradas_B!X35="N/A",0,IF(Itens_B!$D35="risco",IF(Entradas_B!X35=Itens_B!$E35,Itens_B!$C35,0),IF(Itens_B!$D35="mitigacao",IF(Entradas_B!X35="Sim",-Itens_B!$C35,Itens_B!$C35),IF(Itens_B!$D35="evidencia",IF(Entradas_B!X35="Sim",-Itens_B!$C35,0),0))))</f>
        <v/>
      </c>
      <c r="X37">
        <f>IF(Entradas_B!Y35="N/A",0,IF(Itens_B!$D35="risco",IF(Entradas_B!Y35=Itens_B!$E35,Itens_B!$C35,0),IF(Itens_B!$D35="mitigacao",IF(Entradas_B!Y35="Sim",-Itens_B!$C35,Itens_B!$C35),IF(Itens_B!$D35="evidencia",IF(Entradas_B!Y35="Sim",-Itens_B!$C35,0),0))))</f>
        <v/>
      </c>
      <c r="Y37">
        <f>IF(Entradas_B!Z35="N/A",0,IF(Itens_B!$D35="risco",IF(Entradas_B!Z35=Itens_B!$E35,Itens_B!$C35,0),IF(Itens_B!$D35="mitigacao",IF(Entradas_B!Z35="Sim",-Itens_B!$C35,Itens_B!$C35),IF(Itens_B!$D35="evidencia",IF(Entradas_B!Z35="Sim",-Itens_B!$C35,0),0))))</f>
        <v/>
      </c>
      <c r="Z37">
        <f>IF(Entradas_B!AA35="N/A",0,IF(Itens_B!$D35="risco",IF(Entradas_B!AA35=Itens_B!$E35,Itens_B!$C35,0),IF(Itens_B!$D35="mitigacao",IF(Entradas_B!AA35="Sim",-Itens_B!$C35,Itens_B!$C35),IF(Itens_B!$D35="evidencia",IF(Entradas_B!AA35="Sim",-Itens_B!$C35,0),0))))</f>
        <v/>
      </c>
      <c r="AA37">
        <f>IF(Entradas_B!AB35="N/A",0,IF(Itens_B!$D35="risco",IF(Entradas_B!AB35=Itens_B!$E35,Itens_B!$C35,0),IF(Itens_B!$D35="mitigacao",IF(Entradas_B!AB35="Sim",-Itens_B!$C35,Itens_B!$C35),IF(Itens_B!$D35="evidencia",IF(Entradas_B!AB35="Sim",-Itens_B!$C35,0),0))))</f>
        <v/>
      </c>
      <c r="AB37">
        <f>IF(Entradas_B!AC35="N/A",0,IF(Itens_B!$D35="risco",IF(Entradas_B!AC35=Itens_B!$E35,Itens_B!$C35,0),IF(Itens_B!$D35="mitigacao",IF(Entradas_B!AC35="Sim",-Itens_B!$C35,Itens_B!$C35),IF(Itens_B!$D35="evidencia",IF(Entradas_B!AC35="Sim",-Itens_B!$C35,0),0))))</f>
        <v/>
      </c>
      <c r="AC37">
        <f>IF(Entradas_B!AD35="N/A",0,IF(Itens_B!$D35="risco",IF(Entradas_B!AD35=Itens_B!$E35,Itens_B!$C35,0),IF(Itens_B!$D35="mitigacao",IF(Entradas_B!AD35="Sim",-Itens_B!$C35,Itens_B!$C35),IF(Itens_B!$D35="evidencia",IF(Entradas_B!AD35="Sim",-Itens_B!$C35,0),0))))</f>
        <v/>
      </c>
      <c r="AD37">
        <f>IF(Entradas_B!AE35="N/A",0,IF(Itens_B!$D35="risco",IF(Entradas_B!AE35=Itens_B!$E35,Itens_B!$C35,0),IF(Itens_B!$D35="mitigacao",IF(Entradas_B!AE35="Sim",-Itens_B!$C35,Itens_B!$C35),IF(Itens_B!$D35="evidencia",IF(Entradas_B!AE35="Sim",-Itens_B!$C35,0),0))))</f>
        <v/>
      </c>
      <c r="AE37">
        <f>IF(Entradas_B!AF35="N/A",0,IF(Itens_B!$D35="risco",IF(Entradas_B!AF35=Itens_B!$E35,Itens_B!$C35,0),IF(Itens_B!$D35="mitigacao",IF(Entradas_B!AF35="Sim",-Itens_B!$C35,Itens_B!$C35),IF(Itens_B!$D35="evidencia",IF(Entradas_B!AF35="Sim",-Itens_B!$C35,0),0))))</f>
        <v/>
      </c>
      <c r="AF37">
        <f>IF(Entradas_B!AG35="N/A",0,IF(Itens_B!$D35="risco",IF(Entradas_B!AG35=Itens_B!$E35,Itens_B!$C35,0),IF(Itens_B!$D35="mitigacao",IF(Entradas_B!AG35="Sim",-Itens_B!$C35,Itens_B!$C35),IF(Itens_B!$D35="evidencia",IF(Entradas_B!AG35="Sim",-Itens_B!$C35,0),0))))</f>
        <v/>
      </c>
    </row>
    <row r="38">
      <c r="A38" t="inlineStr">
        <is>
          <t>P5.10</t>
        </is>
      </c>
      <c r="B38">
        <f>IF(Entradas_B!C36="N/A",0,IF(Itens_B!$D36="risco",IF(Entradas_B!C36=Itens_B!$E36,Itens_B!$C36,0),IF(Itens_B!$D36="mitigacao",IF(Entradas_B!C36="Sim",-Itens_B!$C36,Itens_B!$C36),IF(Itens_B!$D36="evidencia",IF(Entradas_B!C36="Sim",-Itens_B!$C36,0),0))))</f>
        <v/>
      </c>
      <c r="C38">
        <f>IF(Entradas_B!D36="N/A",0,IF(Itens_B!$D36="risco",IF(Entradas_B!D36=Itens_B!$E36,Itens_B!$C36,0),IF(Itens_B!$D36="mitigacao",IF(Entradas_B!D36="Sim",-Itens_B!$C36,Itens_B!$C36),IF(Itens_B!$D36="evidencia",IF(Entradas_B!D36="Sim",-Itens_B!$C36,0),0))))</f>
        <v/>
      </c>
      <c r="D38">
        <f>IF(Entradas_B!E36="N/A",0,IF(Itens_B!$D36="risco",IF(Entradas_B!E36=Itens_B!$E36,Itens_B!$C36,0),IF(Itens_B!$D36="mitigacao",IF(Entradas_B!E36="Sim",-Itens_B!$C36,Itens_B!$C36),IF(Itens_B!$D36="evidencia",IF(Entradas_B!E36="Sim",-Itens_B!$C36,0),0))))</f>
        <v/>
      </c>
      <c r="E38">
        <f>IF(Entradas_B!F36="N/A",0,IF(Itens_B!$D36="risco",IF(Entradas_B!F36=Itens_B!$E36,Itens_B!$C36,0),IF(Itens_B!$D36="mitigacao",IF(Entradas_B!F36="Sim",-Itens_B!$C36,Itens_B!$C36),IF(Itens_B!$D36="evidencia",IF(Entradas_B!F36="Sim",-Itens_B!$C36,0),0))))</f>
        <v/>
      </c>
      <c r="F38">
        <f>IF(Entradas_B!G36="N/A",0,IF(Itens_B!$D36="risco",IF(Entradas_B!G36=Itens_B!$E36,Itens_B!$C36,0),IF(Itens_B!$D36="mitigacao",IF(Entradas_B!G36="Sim",-Itens_B!$C36,Itens_B!$C36),IF(Itens_B!$D36="evidencia",IF(Entradas_B!G36="Sim",-Itens_B!$C36,0),0))))</f>
        <v/>
      </c>
      <c r="G38">
        <f>IF(Entradas_B!H36="N/A",0,IF(Itens_B!$D36="risco",IF(Entradas_B!H36=Itens_B!$E36,Itens_B!$C36,0),IF(Itens_B!$D36="mitigacao",IF(Entradas_B!H36="Sim",-Itens_B!$C36,Itens_B!$C36),IF(Itens_B!$D36="evidencia",IF(Entradas_B!H36="Sim",-Itens_B!$C36,0),0))))</f>
        <v/>
      </c>
      <c r="H38">
        <f>IF(Entradas_B!I36="N/A",0,IF(Itens_B!$D36="risco",IF(Entradas_B!I36=Itens_B!$E36,Itens_B!$C36,0),IF(Itens_B!$D36="mitigacao",IF(Entradas_B!I36="Sim",-Itens_B!$C36,Itens_B!$C36),IF(Itens_B!$D36="evidencia",IF(Entradas_B!I36="Sim",-Itens_B!$C36,0),0))))</f>
        <v/>
      </c>
      <c r="I38">
        <f>IF(Entradas_B!J36="N/A",0,IF(Itens_B!$D36="risco",IF(Entradas_B!J36=Itens_B!$E36,Itens_B!$C36,0),IF(Itens_B!$D36="mitigacao",IF(Entradas_B!J36="Sim",-Itens_B!$C36,Itens_B!$C36),IF(Itens_B!$D36="evidencia",IF(Entradas_B!J36="Sim",-Itens_B!$C36,0),0))))</f>
        <v/>
      </c>
      <c r="J38">
        <f>IF(Entradas_B!K36="N/A",0,IF(Itens_B!$D36="risco",IF(Entradas_B!K36=Itens_B!$E36,Itens_B!$C36,0),IF(Itens_B!$D36="mitigacao",IF(Entradas_B!K36="Sim",-Itens_B!$C36,Itens_B!$C36),IF(Itens_B!$D36="evidencia",IF(Entradas_B!K36="Sim",-Itens_B!$C36,0),0))))</f>
        <v/>
      </c>
      <c r="K38">
        <f>IF(Entradas_B!L36="N/A",0,IF(Itens_B!$D36="risco",IF(Entradas_B!L36=Itens_B!$E36,Itens_B!$C36,0),IF(Itens_B!$D36="mitigacao",IF(Entradas_B!L36="Sim",-Itens_B!$C36,Itens_B!$C36),IF(Itens_B!$D36="evidencia",IF(Entradas_B!L36="Sim",-Itens_B!$C36,0),0))))</f>
        <v/>
      </c>
      <c r="L38">
        <f>IF(Entradas_B!M36="N/A",0,IF(Itens_B!$D36="risco",IF(Entradas_B!M36=Itens_B!$E36,Itens_B!$C36,0),IF(Itens_B!$D36="mitigacao",IF(Entradas_B!M36="Sim",-Itens_B!$C36,Itens_B!$C36),IF(Itens_B!$D36="evidencia",IF(Entradas_B!M36="Sim",-Itens_B!$C36,0),0))))</f>
        <v/>
      </c>
      <c r="M38">
        <f>IF(Entradas_B!N36="N/A",0,IF(Itens_B!$D36="risco",IF(Entradas_B!N36=Itens_B!$E36,Itens_B!$C36,0),IF(Itens_B!$D36="mitigacao",IF(Entradas_B!N36="Sim",-Itens_B!$C36,Itens_B!$C36),IF(Itens_B!$D36="evidencia",IF(Entradas_B!N36="Sim",-Itens_B!$C36,0),0))))</f>
        <v/>
      </c>
      <c r="N38">
        <f>IF(Entradas_B!O36="N/A",0,IF(Itens_B!$D36="risco",IF(Entradas_B!O36=Itens_B!$E36,Itens_B!$C36,0),IF(Itens_B!$D36="mitigacao",IF(Entradas_B!O36="Sim",-Itens_B!$C36,Itens_B!$C36),IF(Itens_B!$D36="evidencia",IF(Entradas_B!O36="Sim",-Itens_B!$C36,0),0))))</f>
        <v/>
      </c>
      <c r="O38">
        <f>IF(Entradas_B!P36="N/A",0,IF(Itens_B!$D36="risco",IF(Entradas_B!P36=Itens_B!$E36,Itens_B!$C36,0),IF(Itens_B!$D36="mitigacao",IF(Entradas_B!P36="Sim",-Itens_B!$C36,Itens_B!$C36),IF(Itens_B!$D36="evidencia",IF(Entradas_B!P36="Sim",-Itens_B!$C36,0),0))))</f>
        <v/>
      </c>
      <c r="P38">
        <f>IF(Entradas_B!Q36="N/A",0,IF(Itens_B!$D36="risco",IF(Entradas_B!Q36=Itens_B!$E36,Itens_B!$C36,0),IF(Itens_B!$D36="mitigacao",IF(Entradas_B!Q36="Sim",-Itens_B!$C36,Itens_B!$C36),IF(Itens_B!$D36="evidencia",IF(Entradas_B!Q36="Sim",-Itens_B!$C36,0),0))))</f>
        <v/>
      </c>
      <c r="Q38">
        <f>IF(Entradas_B!R36="N/A",0,IF(Itens_B!$D36="risco",IF(Entradas_B!R36=Itens_B!$E36,Itens_B!$C36,0),IF(Itens_B!$D36="mitigacao",IF(Entradas_B!R36="Sim",-Itens_B!$C36,Itens_B!$C36),IF(Itens_B!$D36="evidencia",IF(Entradas_B!R36="Sim",-Itens_B!$C36,0),0))))</f>
        <v/>
      </c>
      <c r="R38">
        <f>IF(Entradas_B!S36="N/A",0,IF(Itens_B!$D36="risco",IF(Entradas_B!S36=Itens_B!$E36,Itens_B!$C36,0),IF(Itens_B!$D36="mitigacao",IF(Entradas_B!S36="Sim",-Itens_B!$C36,Itens_B!$C36),IF(Itens_B!$D36="evidencia",IF(Entradas_B!S36="Sim",-Itens_B!$C36,0),0))))</f>
        <v/>
      </c>
      <c r="S38">
        <f>IF(Entradas_B!T36="N/A",0,IF(Itens_B!$D36="risco",IF(Entradas_B!T36=Itens_B!$E36,Itens_B!$C36,0),IF(Itens_B!$D36="mitigacao",IF(Entradas_B!T36="Sim",-Itens_B!$C36,Itens_B!$C36),IF(Itens_B!$D36="evidencia",IF(Entradas_B!T36="Sim",-Itens_B!$C36,0),0))))</f>
        <v/>
      </c>
      <c r="T38">
        <f>IF(Entradas_B!U36="N/A",0,IF(Itens_B!$D36="risco",IF(Entradas_B!U36=Itens_B!$E36,Itens_B!$C36,0),IF(Itens_B!$D36="mitigacao",IF(Entradas_B!U36="Sim",-Itens_B!$C36,Itens_B!$C36),IF(Itens_B!$D36="evidencia",IF(Entradas_B!U36="Sim",-Itens_B!$C36,0),0))))</f>
        <v/>
      </c>
      <c r="U38">
        <f>IF(Entradas_B!V36="N/A",0,IF(Itens_B!$D36="risco",IF(Entradas_B!V36=Itens_B!$E36,Itens_B!$C36,0),IF(Itens_B!$D36="mitigacao",IF(Entradas_B!V36="Sim",-Itens_B!$C36,Itens_B!$C36),IF(Itens_B!$D36="evidencia",IF(Entradas_B!V36="Sim",-Itens_B!$C36,0),0))))</f>
        <v/>
      </c>
      <c r="V38">
        <f>IF(Entradas_B!W36="N/A",0,IF(Itens_B!$D36="risco",IF(Entradas_B!W36=Itens_B!$E36,Itens_B!$C36,0),IF(Itens_B!$D36="mitigacao",IF(Entradas_B!W36="Sim",-Itens_B!$C36,Itens_B!$C36),IF(Itens_B!$D36="evidencia",IF(Entradas_B!W36="Sim",-Itens_B!$C36,0),0))))</f>
        <v/>
      </c>
      <c r="W38">
        <f>IF(Entradas_B!X36="N/A",0,IF(Itens_B!$D36="risco",IF(Entradas_B!X36=Itens_B!$E36,Itens_B!$C36,0),IF(Itens_B!$D36="mitigacao",IF(Entradas_B!X36="Sim",-Itens_B!$C36,Itens_B!$C36),IF(Itens_B!$D36="evidencia",IF(Entradas_B!X36="Sim",-Itens_B!$C36,0),0))))</f>
        <v/>
      </c>
      <c r="X38">
        <f>IF(Entradas_B!Y36="N/A",0,IF(Itens_B!$D36="risco",IF(Entradas_B!Y36=Itens_B!$E36,Itens_B!$C36,0),IF(Itens_B!$D36="mitigacao",IF(Entradas_B!Y36="Sim",-Itens_B!$C36,Itens_B!$C36),IF(Itens_B!$D36="evidencia",IF(Entradas_B!Y36="Sim",-Itens_B!$C36,0),0))))</f>
        <v/>
      </c>
      <c r="Y38">
        <f>IF(Entradas_B!Z36="N/A",0,IF(Itens_B!$D36="risco",IF(Entradas_B!Z36=Itens_B!$E36,Itens_B!$C36,0),IF(Itens_B!$D36="mitigacao",IF(Entradas_B!Z36="Sim",-Itens_B!$C36,Itens_B!$C36),IF(Itens_B!$D36="evidencia",IF(Entradas_B!Z36="Sim",-Itens_B!$C36,0),0))))</f>
        <v/>
      </c>
      <c r="Z38">
        <f>IF(Entradas_B!AA36="N/A",0,IF(Itens_B!$D36="risco",IF(Entradas_B!AA36=Itens_B!$E36,Itens_B!$C36,0),IF(Itens_B!$D36="mitigacao",IF(Entradas_B!AA36="Sim",-Itens_B!$C36,Itens_B!$C36),IF(Itens_B!$D36="evidencia",IF(Entradas_B!AA36="Sim",-Itens_B!$C36,0),0))))</f>
        <v/>
      </c>
      <c r="AA38">
        <f>IF(Entradas_B!AB36="N/A",0,IF(Itens_B!$D36="risco",IF(Entradas_B!AB36=Itens_B!$E36,Itens_B!$C36,0),IF(Itens_B!$D36="mitigacao",IF(Entradas_B!AB36="Sim",-Itens_B!$C36,Itens_B!$C36),IF(Itens_B!$D36="evidencia",IF(Entradas_B!AB36="Sim",-Itens_B!$C36,0),0))))</f>
        <v/>
      </c>
      <c r="AB38">
        <f>IF(Entradas_B!AC36="N/A",0,IF(Itens_B!$D36="risco",IF(Entradas_B!AC36=Itens_B!$E36,Itens_B!$C36,0),IF(Itens_B!$D36="mitigacao",IF(Entradas_B!AC36="Sim",-Itens_B!$C36,Itens_B!$C36),IF(Itens_B!$D36="evidencia",IF(Entradas_B!AC36="Sim",-Itens_B!$C36,0),0))))</f>
        <v/>
      </c>
      <c r="AC38">
        <f>IF(Entradas_B!AD36="N/A",0,IF(Itens_B!$D36="risco",IF(Entradas_B!AD36=Itens_B!$E36,Itens_B!$C36,0),IF(Itens_B!$D36="mitigacao",IF(Entradas_B!AD36="Sim",-Itens_B!$C36,Itens_B!$C36),IF(Itens_B!$D36="evidencia",IF(Entradas_B!AD36="Sim",-Itens_B!$C36,0),0))))</f>
        <v/>
      </c>
      <c r="AD38">
        <f>IF(Entradas_B!AE36="N/A",0,IF(Itens_B!$D36="risco",IF(Entradas_B!AE36=Itens_B!$E36,Itens_B!$C36,0),IF(Itens_B!$D36="mitigacao",IF(Entradas_B!AE36="Sim",-Itens_B!$C36,Itens_B!$C36),IF(Itens_B!$D36="evidencia",IF(Entradas_B!AE36="Sim",-Itens_B!$C36,0),0))))</f>
        <v/>
      </c>
      <c r="AE38">
        <f>IF(Entradas_B!AF36="N/A",0,IF(Itens_B!$D36="risco",IF(Entradas_B!AF36=Itens_B!$E36,Itens_B!$C36,0),IF(Itens_B!$D36="mitigacao",IF(Entradas_B!AF36="Sim",-Itens_B!$C36,Itens_B!$C36),IF(Itens_B!$D36="evidencia",IF(Entradas_B!AF36="Sim",-Itens_B!$C36,0),0))))</f>
        <v/>
      </c>
      <c r="AF38">
        <f>IF(Entradas_B!AG36="N/A",0,IF(Itens_B!$D36="risco",IF(Entradas_B!AG36=Itens_B!$E36,Itens_B!$C36,0),IF(Itens_B!$D36="mitigacao",IF(Entradas_B!AG36="Sim",-Itens_B!$C36,Itens_B!$C36),IF(Itens_B!$D36="evidencia",IF(Entradas_B!AG36="Sim",-Itens_B!$C36,0),0))))</f>
        <v/>
      </c>
    </row>
    <row r="39">
      <c r="A39" t="inlineStr">
        <is>
          <t>P5.11</t>
        </is>
      </c>
      <c r="B39">
        <f>IF(Entradas_B!C37="N/A",0,IF(Itens_B!$D37="risco",IF(Entradas_B!C37=Itens_B!$E37,Itens_B!$C37,0),IF(Itens_B!$D37="mitigacao",IF(Entradas_B!C37="Sim",-Itens_B!$C37,Itens_B!$C37),IF(Itens_B!$D37="evidencia",IF(Entradas_B!C37="Sim",-Itens_B!$C37,0),0))))</f>
        <v/>
      </c>
      <c r="C39">
        <f>IF(Entradas_B!D37="N/A",0,IF(Itens_B!$D37="risco",IF(Entradas_B!D37=Itens_B!$E37,Itens_B!$C37,0),IF(Itens_B!$D37="mitigacao",IF(Entradas_B!D37="Sim",-Itens_B!$C37,Itens_B!$C37),IF(Itens_B!$D37="evidencia",IF(Entradas_B!D37="Sim",-Itens_B!$C37,0),0))))</f>
        <v/>
      </c>
      <c r="D39">
        <f>IF(Entradas_B!E37="N/A",0,IF(Itens_B!$D37="risco",IF(Entradas_B!E37=Itens_B!$E37,Itens_B!$C37,0),IF(Itens_B!$D37="mitigacao",IF(Entradas_B!E37="Sim",-Itens_B!$C37,Itens_B!$C37),IF(Itens_B!$D37="evidencia",IF(Entradas_B!E37="Sim",-Itens_B!$C37,0),0))))</f>
        <v/>
      </c>
      <c r="E39">
        <f>IF(Entradas_B!F37="N/A",0,IF(Itens_B!$D37="risco",IF(Entradas_B!F37=Itens_B!$E37,Itens_B!$C37,0),IF(Itens_B!$D37="mitigacao",IF(Entradas_B!F37="Sim",-Itens_B!$C37,Itens_B!$C37),IF(Itens_B!$D37="evidencia",IF(Entradas_B!F37="Sim",-Itens_B!$C37,0),0))))</f>
        <v/>
      </c>
      <c r="F39">
        <f>IF(Entradas_B!G37="N/A",0,IF(Itens_B!$D37="risco",IF(Entradas_B!G37=Itens_B!$E37,Itens_B!$C37,0),IF(Itens_B!$D37="mitigacao",IF(Entradas_B!G37="Sim",-Itens_B!$C37,Itens_B!$C37),IF(Itens_B!$D37="evidencia",IF(Entradas_B!G37="Sim",-Itens_B!$C37,0),0))))</f>
        <v/>
      </c>
      <c r="G39">
        <f>IF(Entradas_B!H37="N/A",0,IF(Itens_B!$D37="risco",IF(Entradas_B!H37=Itens_B!$E37,Itens_B!$C37,0),IF(Itens_B!$D37="mitigacao",IF(Entradas_B!H37="Sim",-Itens_B!$C37,Itens_B!$C37),IF(Itens_B!$D37="evidencia",IF(Entradas_B!H37="Sim",-Itens_B!$C37,0),0))))</f>
        <v/>
      </c>
      <c r="H39">
        <f>IF(Entradas_B!I37="N/A",0,IF(Itens_B!$D37="risco",IF(Entradas_B!I37=Itens_B!$E37,Itens_B!$C37,0),IF(Itens_B!$D37="mitigacao",IF(Entradas_B!I37="Sim",-Itens_B!$C37,Itens_B!$C37),IF(Itens_B!$D37="evidencia",IF(Entradas_B!I37="Sim",-Itens_B!$C37,0),0))))</f>
        <v/>
      </c>
      <c r="I39">
        <f>IF(Entradas_B!J37="N/A",0,IF(Itens_B!$D37="risco",IF(Entradas_B!J37=Itens_B!$E37,Itens_B!$C37,0),IF(Itens_B!$D37="mitigacao",IF(Entradas_B!J37="Sim",-Itens_B!$C37,Itens_B!$C37),IF(Itens_B!$D37="evidencia",IF(Entradas_B!J37="Sim",-Itens_B!$C37,0),0))))</f>
        <v/>
      </c>
      <c r="J39">
        <f>IF(Entradas_B!K37="N/A",0,IF(Itens_B!$D37="risco",IF(Entradas_B!K37=Itens_B!$E37,Itens_B!$C37,0),IF(Itens_B!$D37="mitigacao",IF(Entradas_B!K37="Sim",-Itens_B!$C37,Itens_B!$C37),IF(Itens_B!$D37="evidencia",IF(Entradas_B!K37="Sim",-Itens_B!$C37,0),0))))</f>
        <v/>
      </c>
      <c r="K39">
        <f>IF(Entradas_B!L37="N/A",0,IF(Itens_B!$D37="risco",IF(Entradas_B!L37=Itens_B!$E37,Itens_B!$C37,0),IF(Itens_B!$D37="mitigacao",IF(Entradas_B!L37="Sim",-Itens_B!$C37,Itens_B!$C37),IF(Itens_B!$D37="evidencia",IF(Entradas_B!L37="Sim",-Itens_B!$C37,0),0))))</f>
        <v/>
      </c>
      <c r="L39">
        <f>IF(Entradas_B!M37="N/A",0,IF(Itens_B!$D37="risco",IF(Entradas_B!M37=Itens_B!$E37,Itens_B!$C37,0),IF(Itens_B!$D37="mitigacao",IF(Entradas_B!M37="Sim",-Itens_B!$C37,Itens_B!$C37),IF(Itens_B!$D37="evidencia",IF(Entradas_B!M37="Sim",-Itens_B!$C37,0),0))))</f>
        <v/>
      </c>
      <c r="M39">
        <f>IF(Entradas_B!N37="N/A",0,IF(Itens_B!$D37="risco",IF(Entradas_B!N37=Itens_B!$E37,Itens_B!$C37,0),IF(Itens_B!$D37="mitigacao",IF(Entradas_B!N37="Sim",-Itens_B!$C37,Itens_B!$C37),IF(Itens_B!$D37="evidencia",IF(Entradas_B!N37="Sim",-Itens_B!$C37,0),0))))</f>
        <v/>
      </c>
      <c r="N39">
        <f>IF(Entradas_B!O37="N/A",0,IF(Itens_B!$D37="risco",IF(Entradas_B!O37=Itens_B!$E37,Itens_B!$C37,0),IF(Itens_B!$D37="mitigacao",IF(Entradas_B!O37="Sim",-Itens_B!$C37,Itens_B!$C37),IF(Itens_B!$D37="evidencia",IF(Entradas_B!O37="Sim",-Itens_B!$C37,0),0))))</f>
        <v/>
      </c>
      <c r="O39">
        <f>IF(Entradas_B!P37="N/A",0,IF(Itens_B!$D37="risco",IF(Entradas_B!P37=Itens_B!$E37,Itens_B!$C37,0),IF(Itens_B!$D37="mitigacao",IF(Entradas_B!P37="Sim",-Itens_B!$C37,Itens_B!$C37),IF(Itens_B!$D37="evidencia",IF(Entradas_B!P37="Sim",-Itens_B!$C37,0),0))))</f>
        <v/>
      </c>
      <c r="P39">
        <f>IF(Entradas_B!Q37="N/A",0,IF(Itens_B!$D37="risco",IF(Entradas_B!Q37=Itens_B!$E37,Itens_B!$C37,0),IF(Itens_B!$D37="mitigacao",IF(Entradas_B!Q37="Sim",-Itens_B!$C37,Itens_B!$C37),IF(Itens_B!$D37="evidencia",IF(Entradas_B!Q37="Sim",-Itens_B!$C37,0),0))))</f>
        <v/>
      </c>
      <c r="Q39">
        <f>IF(Entradas_B!R37="N/A",0,IF(Itens_B!$D37="risco",IF(Entradas_B!R37=Itens_B!$E37,Itens_B!$C37,0),IF(Itens_B!$D37="mitigacao",IF(Entradas_B!R37="Sim",-Itens_B!$C37,Itens_B!$C37),IF(Itens_B!$D37="evidencia",IF(Entradas_B!R37="Sim",-Itens_B!$C37,0),0))))</f>
        <v/>
      </c>
      <c r="R39">
        <f>IF(Entradas_B!S37="N/A",0,IF(Itens_B!$D37="risco",IF(Entradas_B!S37=Itens_B!$E37,Itens_B!$C37,0),IF(Itens_B!$D37="mitigacao",IF(Entradas_B!S37="Sim",-Itens_B!$C37,Itens_B!$C37),IF(Itens_B!$D37="evidencia",IF(Entradas_B!S37="Sim",-Itens_B!$C37,0),0))))</f>
        <v/>
      </c>
      <c r="S39">
        <f>IF(Entradas_B!T37="N/A",0,IF(Itens_B!$D37="risco",IF(Entradas_B!T37=Itens_B!$E37,Itens_B!$C37,0),IF(Itens_B!$D37="mitigacao",IF(Entradas_B!T37="Sim",-Itens_B!$C37,Itens_B!$C37),IF(Itens_B!$D37="evidencia",IF(Entradas_B!T37="Sim",-Itens_B!$C37,0),0))))</f>
        <v/>
      </c>
      <c r="T39">
        <f>IF(Entradas_B!U37="N/A",0,IF(Itens_B!$D37="risco",IF(Entradas_B!U37=Itens_B!$E37,Itens_B!$C37,0),IF(Itens_B!$D37="mitigacao",IF(Entradas_B!U37="Sim",-Itens_B!$C37,Itens_B!$C37),IF(Itens_B!$D37="evidencia",IF(Entradas_B!U37="Sim",-Itens_B!$C37,0),0))))</f>
        <v/>
      </c>
      <c r="U39">
        <f>IF(Entradas_B!V37="N/A",0,IF(Itens_B!$D37="risco",IF(Entradas_B!V37=Itens_B!$E37,Itens_B!$C37,0),IF(Itens_B!$D37="mitigacao",IF(Entradas_B!V37="Sim",-Itens_B!$C37,Itens_B!$C37),IF(Itens_B!$D37="evidencia",IF(Entradas_B!V37="Sim",-Itens_B!$C37,0),0))))</f>
        <v/>
      </c>
      <c r="V39">
        <f>IF(Entradas_B!W37="N/A",0,IF(Itens_B!$D37="risco",IF(Entradas_B!W37=Itens_B!$E37,Itens_B!$C37,0),IF(Itens_B!$D37="mitigacao",IF(Entradas_B!W37="Sim",-Itens_B!$C37,Itens_B!$C37),IF(Itens_B!$D37="evidencia",IF(Entradas_B!W37="Sim",-Itens_B!$C37,0),0))))</f>
        <v/>
      </c>
      <c r="W39">
        <f>IF(Entradas_B!X37="N/A",0,IF(Itens_B!$D37="risco",IF(Entradas_B!X37=Itens_B!$E37,Itens_B!$C37,0),IF(Itens_B!$D37="mitigacao",IF(Entradas_B!X37="Sim",-Itens_B!$C37,Itens_B!$C37),IF(Itens_B!$D37="evidencia",IF(Entradas_B!X37="Sim",-Itens_B!$C37,0),0))))</f>
        <v/>
      </c>
      <c r="X39">
        <f>IF(Entradas_B!Y37="N/A",0,IF(Itens_B!$D37="risco",IF(Entradas_B!Y37=Itens_B!$E37,Itens_B!$C37,0),IF(Itens_B!$D37="mitigacao",IF(Entradas_B!Y37="Sim",-Itens_B!$C37,Itens_B!$C37),IF(Itens_B!$D37="evidencia",IF(Entradas_B!Y37="Sim",-Itens_B!$C37,0),0))))</f>
        <v/>
      </c>
      <c r="Y39">
        <f>IF(Entradas_B!Z37="N/A",0,IF(Itens_B!$D37="risco",IF(Entradas_B!Z37=Itens_B!$E37,Itens_B!$C37,0),IF(Itens_B!$D37="mitigacao",IF(Entradas_B!Z37="Sim",-Itens_B!$C37,Itens_B!$C37),IF(Itens_B!$D37="evidencia",IF(Entradas_B!Z37="Sim",-Itens_B!$C37,0),0))))</f>
        <v/>
      </c>
      <c r="Z39">
        <f>IF(Entradas_B!AA37="N/A",0,IF(Itens_B!$D37="risco",IF(Entradas_B!AA37=Itens_B!$E37,Itens_B!$C37,0),IF(Itens_B!$D37="mitigacao",IF(Entradas_B!AA37="Sim",-Itens_B!$C37,Itens_B!$C37),IF(Itens_B!$D37="evidencia",IF(Entradas_B!AA37="Sim",-Itens_B!$C37,0),0))))</f>
        <v/>
      </c>
      <c r="AA39">
        <f>IF(Entradas_B!AB37="N/A",0,IF(Itens_B!$D37="risco",IF(Entradas_B!AB37=Itens_B!$E37,Itens_B!$C37,0),IF(Itens_B!$D37="mitigacao",IF(Entradas_B!AB37="Sim",-Itens_B!$C37,Itens_B!$C37),IF(Itens_B!$D37="evidencia",IF(Entradas_B!AB37="Sim",-Itens_B!$C37,0),0))))</f>
        <v/>
      </c>
      <c r="AB39">
        <f>IF(Entradas_B!AC37="N/A",0,IF(Itens_B!$D37="risco",IF(Entradas_B!AC37=Itens_B!$E37,Itens_B!$C37,0),IF(Itens_B!$D37="mitigacao",IF(Entradas_B!AC37="Sim",-Itens_B!$C37,Itens_B!$C37),IF(Itens_B!$D37="evidencia",IF(Entradas_B!AC37="Sim",-Itens_B!$C37,0),0))))</f>
        <v/>
      </c>
      <c r="AC39">
        <f>IF(Entradas_B!AD37="N/A",0,IF(Itens_B!$D37="risco",IF(Entradas_B!AD37=Itens_B!$E37,Itens_B!$C37,0),IF(Itens_B!$D37="mitigacao",IF(Entradas_B!AD37="Sim",-Itens_B!$C37,Itens_B!$C37),IF(Itens_B!$D37="evidencia",IF(Entradas_B!AD37="Sim",-Itens_B!$C37,0),0))))</f>
        <v/>
      </c>
      <c r="AD39">
        <f>IF(Entradas_B!AE37="N/A",0,IF(Itens_B!$D37="risco",IF(Entradas_B!AE37=Itens_B!$E37,Itens_B!$C37,0),IF(Itens_B!$D37="mitigacao",IF(Entradas_B!AE37="Sim",-Itens_B!$C37,Itens_B!$C37),IF(Itens_B!$D37="evidencia",IF(Entradas_B!AE37="Sim",-Itens_B!$C37,0),0))))</f>
        <v/>
      </c>
      <c r="AE39">
        <f>IF(Entradas_B!AF37="N/A",0,IF(Itens_B!$D37="risco",IF(Entradas_B!AF37=Itens_B!$E37,Itens_B!$C37,0),IF(Itens_B!$D37="mitigacao",IF(Entradas_B!AF37="Sim",-Itens_B!$C37,Itens_B!$C37),IF(Itens_B!$D37="evidencia",IF(Entradas_B!AF37="Sim",-Itens_B!$C37,0),0))))</f>
        <v/>
      </c>
      <c r="AF39">
        <f>IF(Entradas_B!AG37="N/A",0,IF(Itens_B!$D37="risco",IF(Entradas_B!AG37=Itens_B!$E37,Itens_B!$C37,0),IF(Itens_B!$D37="mitigacao",IF(Entradas_B!AG37="Sim",-Itens_B!$C37,Itens_B!$C37),IF(Itens_B!$D37="evidencia",IF(Entradas_B!AG37="Sim",-Itens_B!$C37,0),0))))</f>
        <v/>
      </c>
    </row>
    <row r="40">
      <c r="A40" t="inlineStr">
        <is>
          <t>P6.1</t>
        </is>
      </c>
      <c r="B40">
        <f>IF(Entradas_B!C38="N/A",0,IF(Itens_B!$D38="risco",IF(Entradas_B!C38=Itens_B!$E38,Itens_B!$C38,0),IF(Itens_B!$D38="mitigacao",IF(Entradas_B!C38="Sim",-Itens_B!$C38,Itens_B!$C38),IF(Itens_B!$D38="evidencia",IF(Entradas_B!C38="Sim",-Itens_B!$C38,0),0))))</f>
        <v/>
      </c>
      <c r="C40">
        <f>IF(Entradas_B!D38="N/A",0,IF(Itens_B!$D38="risco",IF(Entradas_B!D38=Itens_B!$E38,Itens_B!$C38,0),IF(Itens_B!$D38="mitigacao",IF(Entradas_B!D38="Sim",-Itens_B!$C38,Itens_B!$C38),IF(Itens_B!$D38="evidencia",IF(Entradas_B!D38="Sim",-Itens_B!$C38,0),0))))</f>
        <v/>
      </c>
      <c r="D40">
        <f>IF(Entradas_B!E38="N/A",0,IF(Itens_B!$D38="risco",IF(Entradas_B!E38=Itens_B!$E38,Itens_B!$C38,0),IF(Itens_B!$D38="mitigacao",IF(Entradas_B!E38="Sim",-Itens_B!$C38,Itens_B!$C38),IF(Itens_B!$D38="evidencia",IF(Entradas_B!E38="Sim",-Itens_B!$C38,0),0))))</f>
        <v/>
      </c>
      <c r="E40">
        <f>IF(Entradas_B!F38="N/A",0,IF(Itens_B!$D38="risco",IF(Entradas_B!F38=Itens_B!$E38,Itens_B!$C38,0),IF(Itens_B!$D38="mitigacao",IF(Entradas_B!F38="Sim",-Itens_B!$C38,Itens_B!$C38),IF(Itens_B!$D38="evidencia",IF(Entradas_B!F38="Sim",-Itens_B!$C38,0),0))))</f>
        <v/>
      </c>
      <c r="F40">
        <f>IF(Entradas_B!G38="N/A",0,IF(Itens_B!$D38="risco",IF(Entradas_B!G38=Itens_B!$E38,Itens_B!$C38,0),IF(Itens_B!$D38="mitigacao",IF(Entradas_B!G38="Sim",-Itens_B!$C38,Itens_B!$C38),IF(Itens_B!$D38="evidencia",IF(Entradas_B!G38="Sim",-Itens_B!$C38,0),0))))</f>
        <v/>
      </c>
      <c r="G40">
        <f>IF(Entradas_B!H38="N/A",0,IF(Itens_B!$D38="risco",IF(Entradas_B!H38=Itens_B!$E38,Itens_B!$C38,0),IF(Itens_B!$D38="mitigacao",IF(Entradas_B!H38="Sim",-Itens_B!$C38,Itens_B!$C38),IF(Itens_B!$D38="evidencia",IF(Entradas_B!H38="Sim",-Itens_B!$C38,0),0))))</f>
        <v/>
      </c>
      <c r="H40">
        <f>IF(Entradas_B!I38="N/A",0,IF(Itens_B!$D38="risco",IF(Entradas_B!I38=Itens_B!$E38,Itens_B!$C38,0),IF(Itens_B!$D38="mitigacao",IF(Entradas_B!I38="Sim",-Itens_B!$C38,Itens_B!$C38),IF(Itens_B!$D38="evidencia",IF(Entradas_B!I38="Sim",-Itens_B!$C38,0),0))))</f>
        <v/>
      </c>
      <c r="I40">
        <f>IF(Entradas_B!J38="N/A",0,IF(Itens_B!$D38="risco",IF(Entradas_B!J38=Itens_B!$E38,Itens_B!$C38,0),IF(Itens_B!$D38="mitigacao",IF(Entradas_B!J38="Sim",-Itens_B!$C38,Itens_B!$C38),IF(Itens_B!$D38="evidencia",IF(Entradas_B!J38="Sim",-Itens_B!$C38,0),0))))</f>
        <v/>
      </c>
      <c r="J40">
        <f>IF(Entradas_B!K38="N/A",0,IF(Itens_B!$D38="risco",IF(Entradas_B!K38=Itens_B!$E38,Itens_B!$C38,0),IF(Itens_B!$D38="mitigacao",IF(Entradas_B!K38="Sim",-Itens_B!$C38,Itens_B!$C38),IF(Itens_B!$D38="evidencia",IF(Entradas_B!K38="Sim",-Itens_B!$C38,0),0))))</f>
        <v/>
      </c>
      <c r="K40">
        <f>IF(Entradas_B!L38="N/A",0,IF(Itens_B!$D38="risco",IF(Entradas_B!L38=Itens_B!$E38,Itens_B!$C38,0),IF(Itens_B!$D38="mitigacao",IF(Entradas_B!L38="Sim",-Itens_B!$C38,Itens_B!$C38),IF(Itens_B!$D38="evidencia",IF(Entradas_B!L38="Sim",-Itens_B!$C38,0),0))))</f>
        <v/>
      </c>
      <c r="L40">
        <f>IF(Entradas_B!M38="N/A",0,IF(Itens_B!$D38="risco",IF(Entradas_B!M38=Itens_B!$E38,Itens_B!$C38,0),IF(Itens_B!$D38="mitigacao",IF(Entradas_B!M38="Sim",-Itens_B!$C38,Itens_B!$C38),IF(Itens_B!$D38="evidencia",IF(Entradas_B!M38="Sim",-Itens_B!$C38,0),0))))</f>
        <v/>
      </c>
      <c r="M40">
        <f>IF(Entradas_B!N38="N/A",0,IF(Itens_B!$D38="risco",IF(Entradas_B!N38=Itens_B!$E38,Itens_B!$C38,0),IF(Itens_B!$D38="mitigacao",IF(Entradas_B!N38="Sim",-Itens_B!$C38,Itens_B!$C38),IF(Itens_B!$D38="evidencia",IF(Entradas_B!N38="Sim",-Itens_B!$C38,0),0))))</f>
        <v/>
      </c>
      <c r="N40">
        <f>IF(Entradas_B!O38="N/A",0,IF(Itens_B!$D38="risco",IF(Entradas_B!O38=Itens_B!$E38,Itens_B!$C38,0),IF(Itens_B!$D38="mitigacao",IF(Entradas_B!O38="Sim",-Itens_B!$C38,Itens_B!$C38),IF(Itens_B!$D38="evidencia",IF(Entradas_B!O38="Sim",-Itens_B!$C38,0),0))))</f>
        <v/>
      </c>
      <c r="O40">
        <f>IF(Entradas_B!P38="N/A",0,IF(Itens_B!$D38="risco",IF(Entradas_B!P38=Itens_B!$E38,Itens_B!$C38,0),IF(Itens_B!$D38="mitigacao",IF(Entradas_B!P38="Sim",-Itens_B!$C38,Itens_B!$C38),IF(Itens_B!$D38="evidencia",IF(Entradas_B!P38="Sim",-Itens_B!$C38,0),0))))</f>
        <v/>
      </c>
      <c r="P40">
        <f>IF(Entradas_B!Q38="N/A",0,IF(Itens_B!$D38="risco",IF(Entradas_B!Q38=Itens_B!$E38,Itens_B!$C38,0),IF(Itens_B!$D38="mitigacao",IF(Entradas_B!Q38="Sim",-Itens_B!$C38,Itens_B!$C38),IF(Itens_B!$D38="evidencia",IF(Entradas_B!Q38="Sim",-Itens_B!$C38,0),0))))</f>
        <v/>
      </c>
      <c r="Q40">
        <f>IF(Entradas_B!R38="N/A",0,IF(Itens_B!$D38="risco",IF(Entradas_B!R38=Itens_B!$E38,Itens_B!$C38,0),IF(Itens_B!$D38="mitigacao",IF(Entradas_B!R38="Sim",-Itens_B!$C38,Itens_B!$C38),IF(Itens_B!$D38="evidencia",IF(Entradas_B!R38="Sim",-Itens_B!$C38,0),0))))</f>
        <v/>
      </c>
      <c r="R40">
        <f>IF(Entradas_B!S38="N/A",0,IF(Itens_B!$D38="risco",IF(Entradas_B!S38=Itens_B!$E38,Itens_B!$C38,0),IF(Itens_B!$D38="mitigacao",IF(Entradas_B!S38="Sim",-Itens_B!$C38,Itens_B!$C38),IF(Itens_B!$D38="evidencia",IF(Entradas_B!S38="Sim",-Itens_B!$C38,0),0))))</f>
        <v/>
      </c>
      <c r="S40">
        <f>IF(Entradas_B!T38="N/A",0,IF(Itens_B!$D38="risco",IF(Entradas_B!T38=Itens_B!$E38,Itens_B!$C38,0),IF(Itens_B!$D38="mitigacao",IF(Entradas_B!T38="Sim",-Itens_B!$C38,Itens_B!$C38),IF(Itens_B!$D38="evidencia",IF(Entradas_B!T38="Sim",-Itens_B!$C38,0),0))))</f>
        <v/>
      </c>
      <c r="T40">
        <f>IF(Entradas_B!U38="N/A",0,IF(Itens_B!$D38="risco",IF(Entradas_B!U38=Itens_B!$E38,Itens_B!$C38,0),IF(Itens_B!$D38="mitigacao",IF(Entradas_B!U38="Sim",-Itens_B!$C38,Itens_B!$C38),IF(Itens_B!$D38="evidencia",IF(Entradas_B!U38="Sim",-Itens_B!$C38,0),0))))</f>
        <v/>
      </c>
      <c r="U40">
        <f>IF(Entradas_B!V38="N/A",0,IF(Itens_B!$D38="risco",IF(Entradas_B!V38=Itens_B!$E38,Itens_B!$C38,0),IF(Itens_B!$D38="mitigacao",IF(Entradas_B!V38="Sim",-Itens_B!$C38,Itens_B!$C38),IF(Itens_B!$D38="evidencia",IF(Entradas_B!V38="Sim",-Itens_B!$C38,0),0))))</f>
        <v/>
      </c>
      <c r="V40">
        <f>IF(Entradas_B!W38="N/A",0,IF(Itens_B!$D38="risco",IF(Entradas_B!W38=Itens_B!$E38,Itens_B!$C38,0),IF(Itens_B!$D38="mitigacao",IF(Entradas_B!W38="Sim",-Itens_B!$C38,Itens_B!$C38),IF(Itens_B!$D38="evidencia",IF(Entradas_B!W38="Sim",-Itens_B!$C38,0),0))))</f>
        <v/>
      </c>
      <c r="W40">
        <f>IF(Entradas_B!X38="N/A",0,IF(Itens_B!$D38="risco",IF(Entradas_B!X38=Itens_B!$E38,Itens_B!$C38,0),IF(Itens_B!$D38="mitigacao",IF(Entradas_B!X38="Sim",-Itens_B!$C38,Itens_B!$C38),IF(Itens_B!$D38="evidencia",IF(Entradas_B!X38="Sim",-Itens_B!$C38,0),0))))</f>
        <v/>
      </c>
      <c r="X40">
        <f>IF(Entradas_B!Y38="N/A",0,IF(Itens_B!$D38="risco",IF(Entradas_B!Y38=Itens_B!$E38,Itens_B!$C38,0),IF(Itens_B!$D38="mitigacao",IF(Entradas_B!Y38="Sim",-Itens_B!$C38,Itens_B!$C38),IF(Itens_B!$D38="evidencia",IF(Entradas_B!Y38="Sim",-Itens_B!$C38,0),0))))</f>
        <v/>
      </c>
      <c r="Y40">
        <f>IF(Entradas_B!Z38="N/A",0,IF(Itens_B!$D38="risco",IF(Entradas_B!Z38=Itens_B!$E38,Itens_B!$C38,0),IF(Itens_B!$D38="mitigacao",IF(Entradas_B!Z38="Sim",-Itens_B!$C38,Itens_B!$C38),IF(Itens_B!$D38="evidencia",IF(Entradas_B!Z38="Sim",-Itens_B!$C38,0),0))))</f>
        <v/>
      </c>
      <c r="Z40">
        <f>IF(Entradas_B!AA38="N/A",0,IF(Itens_B!$D38="risco",IF(Entradas_B!AA38=Itens_B!$E38,Itens_B!$C38,0),IF(Itens_B!$D38="mitigacao",IF(Entradas_B!AA38="Sim",-Itens_B!$C38,Itens_B!$C38),IF(Itens_B!$D38="evidencia",IF(Entradas_B!AA38="Sim",-Itens_B!$C38,0),0))))</f>
        <v/>
      </c>
      <c r="AA40">
        <f>IF(Entradas_B!AB38="N/A",0,IF(Itens_B!$D38="risco",IF(Entradas_B!AB38=Itens_B!$E38,Itens_B!$C38,0),IF(Itens_B!$D38="mitigacao",IF(Entradas_B!AB38="Sim",-Itens_B!$C38,Itens_B!$C38),IF(Itens_B!$D38="evidencia",IF(Entradas_B!AB38="Sim",-Itens_B!$C38,0),0))))</f>
        <v/>
      </c>
      <c r="AB40">
        <f>IF(Entradas_B!AC38="N/A",0,IF(Itens_B!$D38="risco",IF(Entradas_B!AC38=Itens_B!$E38,Itens_B!$C38,0),IF(Itens_B!$D38="mitigacao",IF(Entradas_B!AC38="Sim",-Itens_B!$C38,Itens_B!$C38),IF(Itens_B!$D38="evidencia",IF(Entradas_B!AC38="Sim",-Itens_B!$C38,0),0))))</f>
        <v/>
      </c>
      <c r="AC40">
        <f>IF(Entradas_B!AD38="N/A",0,IF(Itens_B!$D38="risco",IF(Entradas_B!AD38=Itens_B!$E38,Itens_B!$C38,0),IF(Itens_B!$D38="mitigacao",IF(Entradas_B!AD38="Sim",-Itens_B!$C38,Itens_B!$C38),IF(Itens_B!$D38="evidencia",IF(Entradas_B!AD38="Sim",-Itens_B!$C38,0),0))))</f>
        <v/>
      </c>
      <c r="AD40">
        <f>IF(Entradas_B!AE38="N/A",0,IF(Itens_B!$D38="risco",IF(Entradas_B!AE38=Itens_B!$E38,Itens_B!$C38,0),IF(Itens_B!$D38="mitigacao",IF(Entradas_B!AE38="Sim",-Itens_B!$C38,Itens_B!$C38),IF(Itens_B!$D38="evidencia",IF(Entradas_B!AE38="Sim",-Itens_B!$C38,0),0))))</f>
        <v/>
      </c>
      <c r="AE40">
        <f>IF(Entradas_B!AF38="N/A",0,IF(Itens_B!$D38="risco",IF(Entradas_B!AF38=Itens_B!$E38,Itens_B!$C38,0),IF(Itens_B!$D38="mitigacao",IF(Entradas_B!AF38="Sim",-Itens_B!$C38,Itens_B!$C38),IF(Itens_B!$D38="evidencia",IF(Entradas_B!AF38="Sim",-Itens_B!$C38,0),0))))</f>
        <v/>
      </c>
      <c r="AF40">
        <f>IF(Entradas_B!AG38="N/A",0,IF(Itens_B!$D38="risco",IF(Entradas_B!AG38=Itens_B!$E38,Itens_B!$C38,0),IF(Itens_B!$D38="mitigacao",IF(Entradas_B!AG38="Sim",-Itens_B!$C38,Itens_B!$C38),IF(Itens_B!$D38="evidencia",IF(Entradas_B!AG38="Sim",-Itens_B!$C38,0),0))))</f>
        <v/>
      </c>
    </row>
    <row r="41">
      <c r="A41" t="inlineStr">
        <is>
          <t>P6.2</t>
        </is>
      </c>
      <c r="B41">
        <f>IF(Entradas_B!C39="N/A",0,IF(Itens_B!$D39="risco",IF(Entradas_B!C39=Itens_B!$E39,Itens_B!$C39,0),IF(Itens_B!$D39="mitigacao",IF(Entradas_B!C39="Sim",-Itens_B!$C39,Itens_B!$C39),IF(Itens_B!$D39="evidencia",IF(Entradas_B!C39="Sim",-Itens_B!$C39,0),0))))</f>
        <v/>
      </c>
      <c r="C41">
        <f>IF(Entradas_B!D39="N/A",0,IF(Itens_B!$D39="risco",IF(Entradas_B!D39=Itens_B!$E39,Itens_B!$C39,0),IF(Itens_B!$D39="mitigacao",IF(Entradas_B!D39="Sim",-Itens_B!$C39,Itens_B!$C39),IF(Itens_B!$D39="evidencia",IF(Entradas_B!D39="Sim",-Itens_B!$C39,0),0))))</f>
        <v/>
      </c>
      <c r="D41">
        <f>IF(Entradas_B!E39="N/A",0,IF(Itens_B!$D39="risco",IF(Entradas_B!E39=Itens_B!$E39,Itens_B!$C39,0),IF(Itens_B!$D39="mitigacao",IF(Entradas_B!E39="Sim",-Itens_B!$C39,Itens_B!$C39),IF(Itens_B!$D39="evidencia",IF(Entradas_B!E39="Sim",-Itens_B!$C39,0),0))))</f>
        <v/>
      </c>
      <c r="E41">
        <f>IF(Entradas_B!F39="N/A",0,IF(Itens_B!$D39="risco",IF(Entradas_B!F39=Itens_B!$E39,Itens_B!$C39,0),IF(Itens_B!$D39="mitigacao",IF(Entradas_B!F39="Sim",-Itens_B!$C39,Itens_B!$C39),IF(Itens_B!$D39="evidencia",IF(Entradas_B!F39="Sim",-Itens_B!$C39,0),0))))</f>
        <v/>
      </c>
      <c r="F41">
        <f>IF(Entradas_B!G39="N/A",0,IF(Itens_B!$D39="risco",IF(Entradas_B!G39=Itens_B!$E39,Itens_B!$C39,0),IF(Itens_B!$D39="mitigacao",IF(Entradas_B!G39="Sim",-Itens_B!$C39,Itens_B!$C39),IF(Itens_B!$D39="evidencia",IF(Entradas_B!G39="Sim",-Itens_B!$C39,0),0))))</f>
        <v/>
      </c>
      <c r="G41">
        <f>IF(Entradas_B!H39="N/A",0,IF(Itens_B!$D39="risco",IF(Entradas_B!H39=Itens_B!$E39,Itens_B!$C39,0),IF(Itens_B!$D39="mitigacao",IF(Entradas_B!H39="Sim",-Itens_B!$C39,Itens_B!$C39),IF(Itens_B!$D39="evidencia",IF(Entradas_B!H39="Sim",-Itens_B!$C39,0),0))))</f>
        <v/>
      </c>
      <c r="H41">
        <f>IF(Entradas_B!I39="N/A",0,IF(Itens_B!$D39="risco",IF(Entradas_B!I39=Itens_B!$E39,Itens_B!$C39,0),IF(Itens_B!$D39="mitigacao",IF(Entradas_B!I39="Sim",-Itens_B!$C39,Itens_B!$C39),IF(Itens_B!$D39="evidencia",IF(Entradas_B!I39="Sim",-Itens_B!$C39,0),0))))</f>
        <v/>
      </c>
      <c r="I41">
        <f>IF(Entradas_B!J39="N/A",0,IF(Itens_B!$D39="risco",IF(Entradas_B!J39=Itens_B!$E39,Itens_B!$C39,0),IF(Itens_B!$D39="mitigacao",IF(Entradas_B!J39="Sim",-Itens_B!$C39,Itens_B!$C39),IF(Itens_B!$D39="evidencia",IF(Entradas_B!J39="Sim",-Itens_B!$C39,0),0))))</f>
        <v/>
      </c>
      <c r="J41">
        <f>IF(Entradas_B!K39="N/A",0,IF(Itens_B!$D39="risco",IF(Entradas_B!K39=Itens_B!$E39,Itens_B!$C39,0),IF(Itens_B!$D39="mitigacao",IF(Entradas_B!K39="Sim",-Itens_B!$C39,Itens_B!$C39),IF(Itens_B!$D39="evidencia",IF(Entradas_B!K39="Sim",-Itens_B!$C39,0),0))))</f>
        <v/>
      </c>
      <c r="K41">
        <f>IF(Entradas_B!L39="N/A",0,IF(Itens_B!$D39="risco",IF(Entradas_B!L39=Itens_B!$E39,Itens_B!$C39,0),IF(Itens_B!$D39="mitigacao",IF(Entradas_B!L39="Sim",-Itens_B!$C39,Itens_B!$C39),IF(Itens_B!$D39="evidencia",IF(Entradas_B!L39="Sim",-Itens_B!$C39,0),0))))</f>
        <v/>
      </c>
      <c r="L41">
        <f>IF(Entradas_B!M39="N/A",0,IF(Itens_B!$D39="risco",IF(Entradas_B!M39=Itens_B!$E39,Itens_B!$C39,0),IF(Itens_B!$D39="mitigacao",IF(Entradas_B!M39="Sim",-Itens_B!$C39,Itens_B!$C39),IF(Itens_B!$D39="evidencia",IF(Entradas_B!M39="Sim",-Itens_B!$C39,0),0))))</f>
        <v/>
      </c>
      <c r="M41">
        <f>IF(Entradas_B!N39="N/A",0,IF(Itens_B!$D39="risco",IF(Entradas_B!N39=Itens_B!$E39,Itens_B!$C39,0),IF(Itens_B!$D39="mitigacao",IF(Entradas_B!N39="Sim",-Itens_B!$C39,Itens_B!$C39),IF(Itens_B!$D39="evidencia",IF(Entradas_B!N39="Sim",-Itens_B!$C39,0),0))))</f>
        <v/>
      </c>
      <c r="N41">
        <f>IF(Entradas_B!O39="N/A",0,IF(Itens_B!$D39="risco",IF(Entradas_B!O39=Itens_B!$E39,Itens_B!$C39,0),IF(Itens_B!$D39="mitigacao",IF(Entradas_B!O39="Sim",-Itens_B!$C39,Itens_B!$C39),IF(Itens_B!$D39="evidencia",IF(Entradas_B!O39="Sim",-Itens_B!$C39,0),0))))</f>
        <v/>
      </c>
      <c r="O41">
        <f>IF(Entradas_B!P39="N/A",0,IF(Itens_B!$D39="risco",IF(Entradas_B!P39=Itens_B!$E39,Itens_B!$C39,0),IF(Itens_B!$D39="mitigacao",IF(Entradas_B!P39="Sim",-Itens_B!$C39,Itens_B!$C39),IF(Itens_B!$D39="evidencia",IF(Entradas_B!P39="Sim",-Itens_B!$C39,0),0))))</f>
        <v/>
      </c>
      <c r="P41">
        <f>IF(Entradas_B!Q39="N/A",0,IF(Itens_B!$D39="risco",IF(Entradas_B!Q39=Itens_B!$E39,Itens_B!$C39,0),IF(Itens_B!$D39="mitigacao",IF(Entradas_B!Q39="Sim",-Itens_B!$C39,Itens_B!$C39),IF(Itens_B!$D39="evidencia",IF(Entradas_B!Q39="Sim",-Itens_B!$C39,0),0))))</f>
        <v/>
      </c>
      <c r="Q41">
        <f>IF(Entradas_B!R39="N/A",0,IF(Itens_B!$D39="risco",IF(Entradas_B!R39=Itens_B!$E39,Itens_B!$C39,0),IF(Itens_B!$D39="mitigacao",IF(Entradas_B!R39="Sim",-Itens_B!$C39,Itens_B!$C39),IF(Itens_B!$D39="evidencia",IF(Entradas_B!R39="Sim",-Itens_B!$C39,0),0))))</f>
        <v/>
      </c>
      <c r="R41">
        <f>IF(Entradas_B!S39="N/A",0,IF(Itens_B!$D39="risco",IF(Entradas_B!S39=Itens_B!$E39,Itens_B!$C39,0),IF(Itens_B!$D39="mitigacao",IF(Entradas_B!S39="Sim",-Itens_B!$C39,Itens_B!$C39),IF(Itens_B!$D39="evidencia",IF(Entradas_B!S39="Sim",-Itens_B!$C39,0),0))))</f>
        <v/>
      </c>
      <c r="S41">
        <f>IF(Entradas_B!T39="N/A",0,IF(Itens_B!$D39="risco",IF(Entradas_B!T39=Itens_B!$E39,Itens_B!$C39,0),IF(Itens_B!$D39="mitigacao",IF(Entradas_B!T39="Sim",-Itens_B!$C39,Itens_B!$C39),IF(Itens_B!$D39="evidencia",IF(Entradas_B!T39="Sim",-Itens_B!$C39,0),0))))</f>
        <v/>
      </c>
      <c r="T41">
        <f>IF(Entradas_B!U39="N/A",0,IF(Itens_B!$D39="risco",IF(Entradas_B!U39=Itens_B!$E39,Itens_B!$C39,0),IF(Itens_B!$D39="mitigacao",IF(Entradas_B!U39="Sim",-Itens_B!$C39,Itens_B!$C39),IF(Itens_B!$D39="evidencia",IF(Entradas_B!U39="Sim",-Itens_B!$C39,0),0))))</f>
        <v/>
      </c>
      <c r="U41">
        <f>IF(Entradas_B!V39="N/A",0,IF(Itens_B!$D39="risco",IF(Entradas_B!V39=Itens_B!$E39,Itens_B!$C39,0),IF(Itens_B!$D39="mitigacao",IF(Entradas_B!V39="Sim",-Itens_B!$C39,Itens_B!$C39),IF(Itens_B!$D39="evidencia",IF(Entradas_B!V39="Sim",-Itens_B!$C39,0),0))))</f>
        <v/>
      </c>
      <c r="V41">
        <f>IF(Entradas_B!W39="N/A",0,IF(Itens_B!$D39="risco",IF(Entradas_B!W39=Itens_B!$E39,Itens_B!$C39,0),IF(Itens_B!$D39="mitigacao",IF(Entradas_B!W39="Sim",-Itens_B!$C39,Itens_B!$C39),IF(Itens_B!$D39="evidencia",IF(Entradas_B!W39="Sim",-Itens_B!$C39,0),0))))</f>
        <v/>
      </c>
      <c r="W41">
        <f>IF(Entradas_B!X39="N/A",0,IF(Itens_B!$D39="risco",IF(Entradas_B!X39=Itens_B!$E39,Itens_B!$C39,0),IF(Itens_B!$D39="mitigacao",IF(Entradas_B!X39="Sim",-Itens_B!$C39,Itens_B!$C39),IF(Itens_B!$D39="evidencia",IF(Entradas_B!X39="Sim",-Itens_B!$C39,0),0))))</f>
        <v/>
      </c>
      <c r="X41">
        <f>IF(Entradas_B!Y39="N/A",0,IF(Itens_B!$D39="risco",IF(Entradas_B!Y39=Itens_B!$E39,Itens_B!$C39,0),IF(Itens_B!$D39="mitigacao",IF(Entradas_B!Y39="Sim",-Itens_B!$C39,Itens_B!$C39),IF(Itens_B!$D39="evidencia",IF(Entradas_B!Y39="Sim",-Itens_B!$C39,0),0))))</f>
        <v/>
      </c>
      <c r="Y41">
        <f>IF(Entradas_B!Z39="N/A",0,IF(Itens_B!$D39="risco",IF(Entradas_B!Z39=Itens_B!$E39,Itens_B!$C39,0),IF(Itens_B!$D39="mitigacao",IF(Entradas_B!Z39="Sim",-Itens_B!$C39,Itens_B!$C39),IF(Itens_B!$D39="evidencia",IF(Entradas_B!Z39="Sim",-Itens_B!$C39,0),0))))</f>
        <v/>
      </c>
      <c r="Z41">
        <f>IF(Entradas_B!AA39="N/A",0,IF(Itens_B!$D39="risco",IF(Entradas_B!AA39=Itens_B!$E39,Itens_B!$C39,0),IF(Itens_B!$D39="mitigacao",IF(Entradas_B!AA39="Sim",-Itens_B!$C39,Itens_B!$C39),IF(Itens_B!$D39="evidencia",IF(Entradas_B!AA39="Sim",-Itens_B!$C39,0),0))))</f>
        <v/>
      </c>
      <c r="AA41">
        <f>IF(Entradas_B!AB39="N/A",0,IF(Itens_B!$D39="risco",IF(Entradas_B!AB39=Itens_B!$E39,Itens_B!$C39,0),IF(Itens_B!$D39="mitigacao",IF(Entradas_B!AB39="Sim",-Itens_B!$C39,Itens_B!$C39),IF(Itens_B!$D39="evidencia",IF(Entradas_B!AB39="Sim",-Itens_B!$C39,0),0))))</f>
        <v/>
      </c>
      <c r="AB41">
        <f>IF(Entradas_B!AC39="N/A",0,IF(Itens_B!$D39="risco",IF(Entradas_B!AC39=Itens_B!$E39,Itens_B!$C39,0),IF(Itens_B!$D39="mitigacao",IF(Entradas_B!AC39="Sim",-Itens_B!$C39,Itens_B!$C39),IF(Itens_B!$D39="evidencia",IF(Entradas_B!AC39="Sim",-Itens_B!$C39,0),0))))</f>
        <v/>
      </c>
      <c r="AC41">
        <f>IF(Entradas_B!AD39="N/A",0,IF(Itens_B!$D39="risco",IF(Entradas_B!AD39=Itens_B!$E39,Itens_B!$C39,0),IF(Itens_B!$D39="mitigacao",IF(Entradas_B!AD39="Sim",-Itens_B!$C39,Itens_B!$C39),IF(Itens_B!$D39="evidencia",IF(Entradas_B!AD39="Sim",-Itens_B!$C39,0),0))))</f>
        <v/>
      </c>
      <c r="AD41">
        <f>IF(Entradas_B!AE39="N/A",0,IF(Itens_B!$D39="risco",IF(Entradas_B!AE39=Itens_B!$E39,Itens_B!$C39,0),IF(Itens_B!$D39="mitigacao",IF(Entradas_B!AE39="Sim",-Itens_B!$C39,Itens_B!$C39),IF(Itens_B!$D39="evidencia",IF(Entradas_B!AE39="Sim",-Itens_B!$C39,0),0))))</f>
        <v/>
      </c>
      <c r="AE41">
        <f>IF(Entradas_B!AF39="N/A",0,IF(Itens_B!$D39="risco",IF(Entradas_B!AF39=Itens_B!$E39,Itens_B!$C39,0),IF(Itens_B!$D39="mitigacao",IF(Entradas_B!AF39="Sim",-Itens_B!$C39,Itens_B!$C39),IF(Itens_B!$D39="evidencia",IF(Entradas_B!AF39="Sim",-Itens_B!$C39,0),0))))</f>
        <v/>
      </c>
      <c r="AF41">
        <f>IF(Entradas_B!AG39="N/A",0,IF(Itens_B!$D39="risco",IF(Entradas_B!AG39=Itens_B!$E39,Itens_B!$C39,0),IF(Itens_B!$D39="mitigacao",IF(Entradas_B!AG39="Sim",-Itens_B!$C39,Itens_B!$C39),IF(Itens_B!$D39="evidencia",IF(Entradas_B!AG39="Sim",-Itens_B!$C39,0),0))))</f>
        <v/>
      </c>
    </row>
    <row r="42">
      <c r="A42" t="inlineStr">
        <is>
          <t>P6.3</t>
        </is>
      </c>
      <c r="B42">
        <f>IF(Entradas_B!C40="N/A",0,IF(Itens_B!$D40="risco",IF(Entradas_B!C40=Itens_B!$E40,Itens_B!$C40,0),IF(Itens_B!$D40="mitigacao",IF(Entradas_B!C40="Sim",-Itens_B!$C40,Itens_B!$C40),IF(Itens_B!$D40="evidencia",IF(Entradas_B!C40="Sim",-Itens_B!$C40,0),0))))</f>
        <v/>
      </c>
      <c r="C42">
        <f>IF(Entradas_B!D40="N/A",0,IF(Itens_B!$D40="risco",IF(Entradas_B!D40=Itens_B!$E40,Itens_B!$C40,0),IF(Itens_B!$D40="mitigacao",IF(Entradas_B!D40="Sim",-Itens_B!$C40,Itens_B!$C40),IF(Itens_B!$D40="evidencia",IF(Entradas_B!D40="Sim",-Itens_B!$C40,0),0))))</f>
        <v/>
      </c>
      <c r="D42">
        <f>IF(Entradas_B!E40="N/A",0,IF(Itens_B!$D40="risco",IF(Entradas_B!E40=Itens_B!$E40,Itens_B!$C40,0),IF(Itens_B!$D40="mitigacao",IF(Entradas_B!E40="Sim",-Itens_B!$C40,Itens_B!$C40),IF(Itens_B!$D40="evidencia",IF(Entradas_B!E40="Sim",-Itens_B!$C40,0),0))))</f>
        <v/>
      </c>
      <c r="E42">
        <f>IF(Entradas_B!F40="N/A",0,IF(Itens_B!$D40="risco",IF(Entradas_B!F40=Itens_B!$E40,Itens_B!$C40,0),IF(Itens_B!$D40="mitigacao",IF(Entradas_B!F40="Sim",-Itens_B!$C40,Itens_B!$C40),IF(Itens_B!$D40="evidencia",IF(Entradas_B!F40="Sim",-Itens_B!$C40,0),0))))</f>
        <v/>
      </c>
      <c r="F42">
        <f>IF(Entradas_B!G40="N/A",0,IF(Itens_B!$D40="risco",IF(Entradas_B!G40=Itens_B!$E40,Itens_B!$C40,0),IF(Itens_B!$D40="mitigacao",IF(Entradas_B!G40="Sim",-Itens_B!$C40,Itens_B!$C40),IF(Itens_B!$D40="evidencia",IF(Entradas_B!G40="Sim",-Itens_B!$C40,0),0))))</f>
        <v/>
      </c>
      <c r="G42">
        <f>IF(Entradas_B!H40="N/A",0,IF(Itens_B!$D40="risco",IF(Entradas_B!H40=Itens_B!$E40,Itens_B!$C40,0),IF(Itens_B!$D40="mitigacao",IF(Entradas_B!H40="Sim",-Itens_B!$C40,Itens_B!$C40),IF(Itens_B!$D40="evidencia",IF(Entradas_B!H40="Sim",-Itens_B!$C40,0),0))))</f>
        <v/>
      </c>
      <c r="H42">
        <f>IF(Entradas_B!I40="N/A",0,IF(Itens_B!$D40="risco",IF(Entradas_B!I40=Itens_B!$E40,Itens_B!$C40,0),IF(Itens_B!$D40="mitigacao",IF(Entradas_B!I40="Sim",-Itens_B!$C40,Itens_B!$C40),IF(Itens_B!$D40="evidencia",IF(Entradas_B!I40="Sim",-Itens_B!$C40,0),0))))</f>
        <v/>
      </c>
      <c r="I42">
        <f>IF(Entradas_B!J40="N/A",0,IF(Itens_B!$D40="risco",IF(Entradas_B!J40=Itens_B!$E40,Itens_B!$C40,0),IF(Itens_B!$D40="mitigacao",IF(Entradas_B!J40="Sim",-Itens_B!$C40,Itens_B!$C40),IF(Itens_B!$D40="evidencia",IF(Entradas_B!J40="Sim",-Itens_B!$C40,0),0))))</f>
        <v/>
      </c>
      <c r="J42">
        <f>IF(Entradas_B!K40="N/A",0,IF(Itens_B!$D40="risco",IF(Entradas_B!K40=Itens_B!$E40,Itens_B!$C40,0),IF(Itens_B!$D40="mitigacao",IF(Entradas_B!K40="Sim",-Itens_B!$C40,Itens_B!$C40),IF(Itens_B!$D40="evidencia",IF(Entradas_B!K40="Sim",-Itens_B!$C40,0),0))))</f>
        <v/>
      </c>
      <c r="K42">
        <f>IF(Entradas_B!L40="N/A",0,IF(Itens_B!$D40="risco",IF(Entradas_B!L40=Itens_B!$E40,Itens_B!$C40,0),IF(Itens_B!$D40="mitigacao",IF(Entradas_B!L40="Sim",-Itens_B!$C40,Itens_B!$C40),IF(Itens_B!$D40="evidencia",IF(Entradas_B!L40="Sim",-Itens_B!$C40,0),0))))</f>
        <v/>
      </c>
      <c r="L42">
        <f>IF(Entradas_B!M40="N/A",0,IF(Itens_B!$D40="risco",IF(Entradas_B!M40=Itens_B!$E40,Itens_B!$C40,0),IF(Itens_B!$D40="mitigacao",IF(Entradas_B!M40="Sim",-Itens_B!$C40,Itens_B!$C40),IF(Itens_B!$D40="evidencia",IF(Entradas_B!M40="Sim",-Itens_B!$C40,0),0))))</f>
        <v/>
      </c>
      <c r="M42">
        <f>IF(Entradas_B!N40="N/A",0,IF(Itens_B!$D40="risco",IF(Entradas_B!N40=Itens_B!$E40,Itens_B!$C40,0),IF(Itens_B!$D40="mitigacao",IF(Entradas_B!N40="Sim",-Itens_B!$C40,Itens_B!$C40),IF(Itens_B!$D40="evidencia",IF(Entradas_B!N40="Sim",-Itens_B!$C40,0),0))))</f>
        <v/>
      </c>
      <c r="N42">
        <f>IF(Entradas_B!O40="N/A",0,IF(Itens_B!$D40="risco",IF(Entradas_B!O40=Itens_B!$E40,Itens_B!$C40,0),IF(Itens_B!$D40="mitigacao",IF(Entradas_B!O40="Sim",-Itens_B!$C40,Itens_B!$C40),IF(Itens_B!$D40="evidencia",IF(Entradas_B!O40="Sim",-Itens_B!$C40,0),0))))</f>
        <v/>
      </c>
      <c r="O42">
        <f>IF(Entradas_B!P40="N/A",0,IF(Itens_B!$D40="risco",IF(Entradas_B!P40=Itens_B!$E40,Itens_B!$C40,0),IF(Itens_B!$D40="mitigacao",IF(Entradas_B!P40="Sim",-Itens_B!$C40,Itens_B!$C40),IF(Itens_B!$D40="evidencia",IF(Entradas_B!P40="Sim",-Itens_B!$C40,0),0))))</f>
        <v/>
      </c>
      <c r="P42">
        <f>IF(Entradas_B!Q40="N/A",0,IF(Itens_B!$D40="risco",IF(Entradas_B!Q40=Itens_B!$E40,Itens_B!$C40,0),IF(Itens_B!$D40="mitigacao",IF(Entradas_B!Q40="Sim",-Itens_B!$C40,Itens_B!$C40),IF(Itens_B!$D40="evidencia",IF(Entradas_B!Q40="Sim",-Itens_B!$C40,0),0))))</f>
        <v/>
      </c>
      <c r="Q42">
        <f>IF(Entradas_B!R40="N/A",0,IF(Itens_B!$D40="risco",IF(Entradas_B!R40=Itens_B!$E40,Itens_B!$C40,0),IF(Itens_B!$D40="mitigacao",IF(Entradas_B!R40="Sim",-Itens_B!$C40,Itens_B!$C40),IF(Itens_B!$D40="evidencia",IF(Entradas_B!R40="Sim",-Itens_B!$C40,0),0))))</f>
        <v/>
      </c>
      <c r="R42">
        <f>IF(Entradas_B!S40="N/A",0,IF(Itens_B!$D40="risco",IF(Entradas_B!S40=Itens_B!$E40,Itens_B!$C40,0),IF(Itens_B!$D40="mitigacao",IF(Entradas_B!S40="Sim",-Itens_B!$C40,Itens_B!$C40),IF(Itens_B!$D40="evidencia",IF(Entradas_B!S40="Sim",-Itens_B!$C40,0),0))))</f>
        <v/>
      </c>
      <c r="S42">
        <f>IF(Entradas_B!T40="N/A",0,IF(Itens_B!$D40="risco",IF(Entradas_B!T40=Itens_B!$E40,Itens_B!$C40,0),IF(Itens_B!$D40="mitigacao",IF(Entradas_B!T40="Sim",-Itens_B!$C40,Itens_B!$C40),IF(Itens_B!$D40="evidencia",IF(Entradas_B!T40="Sim",-Itens_B!$C40,0),0))))</f>
        <v/>
      </c>
      <c r="T42">
        <f>IF(Entradas_B!U40="N/A",0,IF(Itens_B!$D40="risco",IF(Entradas_B!U40=Itens_B!$E40,Itens_B!$C40,0),IF(Itens_B!$D40="mitigacao",IF(Entradas_B!U40="Sim",-Itens_B!$C40,Itens_B!$C40),IF(Itens_B!$D40="evidencia",IF(Entradas_B!U40="Sim",-Itens_B!$C40,0),0))))</f>
        <v/>
      </c>
      <c r="U42">
        <f>IF(Entradas_B!V40="N/A",0,IF(Itens_B!$D40="risco",IF(Entradas_B!V40=Itens_B!$E40,Itens_B!$C40,0),IF(Itens_B!$D40="mitigacao",IF(Entradas_B!V40="Sim",-Itens_B!$C40,Itens_B!$C40),IF(Itens_B!$D40="evidencia",IF(Entradas_B!V40="Sim",-Itens_B!$C40,0),0))))</f>
        <v/>
      </c>
      <c r="V42">
        <f>IF(Entradas_B!W40="N/A",0,IF(Itens_B!$D40="risco",IF(Entradas_B!W40=Itens_B!$E40,Itens_B!$C40,0),IF(Itens_B!$D40="mitigacao",IF(Entradas_B!W40="Sim",-Itens_B!$C40,Itens_B!$C40),IF(Itens_B!$D40="evidencia",IF(Entradas_B!W40="Sim",-Itens_B!$C40,0),0))))</f>
        <v/>
      </c>
      <c r="W42">
        <f>IF(Entradas_B!X40="N/A",0,IF(Itens_B!$D40="risco",IF(Entradas_B!X40=Itens_B!$E40,Itens_B!$C40,0),IF(Itens_B!$D40="mitigacao",IF(Entradas_B!X40="Sim",-Itens_B!$C40,Itens_B!$C40),IF(Itens_B!$D40="evidencia",IF(Entradas_B!X40="Sim",-Itens_B!$C40,0),0))))</f>
        <v/>
      </c>
      <c r="X42">
        <f>IF(Entradas_B!Y40="N/A",0,IF(Itens_B!$D40="risco",IF(Entradas_B!Y40=Itens_B!$E40,Itens_B!$C40,0),IF(Itens_B!$D40="mitigacao",IF(Entradas_B!Y40="Sim",-Itens_B!$C40,Itens_B!$C40),IF(Itens_B!$D40="evidencia",IF(Entradas_B!Y40="Sim",-Itens_B!$C40,0),0))))</f>
        <v/>
      </c>
      <c r="Y42">
        <f>IF(Entradas_B!Z40="N/A",0,IF(Itens_B!$D40="risco",IF(Entradas_B!Z40=Itens_B!$E40,Itens_B!$C40,0),IF(Itens_B!$D40="mitigacao",IF(Entradas_B!Z40="Sim",-Itens_B!$C40,Itens_B!$C40),IF(Itens_B!$D40="evidencia",IF(Entradas_B!Z40="Sim",-Itens_B!$C40,0),0))))</f>
        <v/>
      </c>
      <c r="Z42">
        <f>IF(Entradas_B!AA40="N/A",0,IF(Itens_B!$D40="risco",IF(Entradas_B!AA40=Itens_B!$E40,Itens_B!$C40,0),IF(Itens_B!$D40="mitigacao",IF(Entradas_B!AA40="Sim",-Itens_B!$C40,Itens_B!$C40),IF(Itens_B!$D40="evidencia",IF(Entradas_B!AA40="Sim",-Itens_B!$C40,0),0))))</f>
        <v/>
      </c>
      <c r="AA42">
        <f>IF(Entradas_B!AB40="N/A",0,IF(Itens_B!$D40="risco",IF(Entradas_B!AB40=Itens_B!$E40,Itens_B!$C40,0),IF(Itens_B!$D40="mitigacao",IF(Entradas_B!AB40="Sim",-Itens_B!$C40,Itens_B!$C40),IF(Itens_B!$D40="evidencia",IF(Entradas_B!AB40="Sim",-Itens_B!$C40,0),0))))</f>
        <v/>
      </c>
      <c r="AB42">
        <f>IF(Entradas_B!AC40="N/A",0,IF(Itens_B!$D40="risco",IF(Entradas_B!AC40=Itens_B!$E40,Itens_B!$C40,0),IF(Itens_B!$D40="mitigacao",IF(Entradas_B!AC40="Sim",-Itens_B!$C40,Itens_B!$C40),IF(Itens_B!$D40="evidencia",IF(Entradas_B!AC40="Sim",-Itens_B!$C40,0),0))))</f>
        <v/>
      </c>
      <c r="AC42">
        <f>IF(Entradas_B!AD40="N/A",0,IF(Itens_B!$D40="risco",IF(Entradas_B!AD40=Itens_B!$E40,Itens_B!$C40,0),IF(Itens_B!$D40="mitigacao",IF(Entradas_B!AD40="Sim",-Itens_B!$C40,Itens_B!$C40),IF(Itens_B!$D40="evidencia",IF(Entradas_B!AD40="Sim",-Itens_B!$C40,0),0))))</f>
        <v/>
      </c>
      <c r="AD42">
        <f>IF(Entradas_B!AE40="N/A",0,IF(Itens_B!$D40="risco",IF(Entradas_B!AE40=Itens_B!$E40,Itens_B!$C40,0),IF(Itens_B!$D40="mitigacao",IF(Entradas_B!AE40="Sim",-Itens_B!$C40,Itens_B!$C40),IF(Itens_B!$D40="evidencia",IF(Entradas_B!AE40="Sim",-Itens_B!$C40,0),0))))</f>
        <v/>
      </c>
      <c r="AE42">
        <f>IF(Entradas_B!AF40="N/A",0,IF(Itens_B!$D40="risco",IF(Entradas_B!AF40=Itens_B!$E40,Itens_B!$C40,0),IF(Itens_B!$D40="mitigacao",IF(Entradas_B!AF40="Sim",-Itens_B!$C40,Itens_B!$C40),IF(Itens_B!$D40="evidencia",IF(Entradas_B!AF40="Sim",-Itens_B!$C40,0),0))))</f>
        <v/>
      </c>
      <c r="AF42">
        <f>IF(Entradas_B!AG40="N/A",0,IF(Itens_B!$D40="risco",IF(Entradas_B!AG40=Itens_B!$E40,Itens_B!$C40,0),IF(Itens_B!$D40="mitigacao",IF(Entradas_B!AG40="Sim",-Itens_B!$C40,Itens_B!$C40),IF(Itens_B!$D40="evidencia",IF(Entradas_B!AG40="Sim",-Itens_B!$C40,0),0))))</f>
        <v/>
      </c>
    </row>
    <row r="43">
      <c r="A43" t="inlineStr">
        <is>
          <t>P6.4</t>
        </is>
      </c>
      <c r="B43">
        <f>IF(Entradas_B!C41="N/A",0,IF(Itens_B!$D41="risco",IF(Entradas_B!C41=Itens_B!$E41,Itens_B!$C41,0),IF(Itens_B!$D41="mitigacao",IF(Entradas_B!C41="Sim",-Itens_B!$C41,Itens_B!$C41),IF(Itens_B!$D41="evidencia",IF(Entradas_B!C41="Sim",-Itens_B!$C41,0),0))))</f>
        <v/>
      </c>
      <c r="C43">
        <f>IF(Entradas_B!D41="N/A",0,IF(Itens_B!$D41="risco",IF(Entradas_B!D41=Itens_B!$E41,Itens_B!$C41,0),IF(Itens_B!$D41="mitigacao",IF(Entradas_B!D41="Sim",-Itens_B!$C41,Itens_B!$C41),IF(Itens_B!$D41="evidencia",IF(Entradas_B!D41="Sim",-Itens_B!$C41,0),0))))</f>
        <v/>
      </c>
      <c r="D43">
        <f>IF(Entradas_B!E41="N/A",0,IF(Itens_B!$D41="risco",IF(Entradas_B!E41=Itens_B!$E41,Itens_B!$C41,0),IF(Itens_B!$D41="mitigacao",IF(Entradas_B!E41="Sim",-Itens_B!$C41,Itens_B!$C41),IF(Itens_B!$D41="evidencia",IF(Entradas_B!E41="Sim",-Itens_B!$C41,0),0))))</f>
        <v/>
      </c>
      <c r="E43">
        <f>IF(Entradas_B!F41="N/A",0,IF(Itens_B!$D41="risco",IF(Entradas_B!F41=Itens_B!$E41,Itens_B!$C41,0),IF(Itens_B!$D41="mitigacao",IF(Entradas_B!F41="Sim",-Itens_B!$C41,Itens_B!$C41),IF(Itens_B!$D41="evidencia",IF(Entradas_B!F41="Sim",-Itens_B!$C41,0),0))))</f>
        <v/>
      </c>
      <c r="F43">
        <f>IF(Entradas_B!G41="N/A",0,IF(Itens_B!$D41="risco",IF(Entradas_B!G41=Itens_B!$E41,Itens_B!$C41,0),IF(Itens_B!$D41="mitigacao",IF(Entradas_B!G41="Sim",-Itens_B!$C41,Itens_B!$C41),IF(Itens_B!$D41="evidencia",IF(Entradas_B!G41="Sim",-Itens_B!$C41,0),0))))</f>
        <v/>
      </c>
      <c r="G43">
        <f>IF(Entradas_B!H41="N/A",0,IF(Itens_B!$D41="risco",IF(Entradas_B!H41=Itens_B!$E41,Itens_B!$C41,0),IF(Itens_B!$D41="mitigacao",IF(Entradas_B!H41="Sim",-Itens_B!$C41,Itens_B!$C41),IF(Itens_B!$D41="evidencia",IF(Entradas_B!H41="Sim",-Itens_B!$C41,0),0))))</f>
        <v/>
      </c>
      <c r="H43">
        <f>IF(Entradas_B!I41="N/A",0,IF(Itens_B!$D41="risco",IF(Entradas_B!I41=Itens_B!$E41,Itens_B!$C41,0),IF(Itens_B!$D41="mitigacao",IF(Entradas_B!I41="Sim",-Itens_B!$C41,Itens_B!$C41),IF(Itens_B!$D41="evidencia",IF(Entradas_B!I41="Sim",-Itens_B!$C41,0),0))))</f>
        <v/>
      </c>
      <c r="I43">
        <f>IF(Entradas_B!J41="N/A",0,IF(Itens_B!$D41="risco",IF(Entradas_B!J41=Itens_B!$E41,Itens_B!$C41,0),IF(Itens_B!$D41="mitigacao",IF(Entradas_B!J41="Sim",-Itens_B!$C41,Itens_B!$C41),IF(Itens_B!$D41="evidencia",IF(Entradas_B!J41="Sim",-Itens_B!$C41,0),0))))</f>
        <v/>
      </c>
      <c r="J43">
        <f>IF(Entradas_B!K41="N/A",0,IF(Itens_B!$D41="risco",IF(Entradas_B!K41=Itens_B!$E41,Itens_B!$C41,0),IF(Itens_B!$D41="mitigacao",IF(Entradas_B!K41="Sim",-Itens_B!$C41,Itens_B!$C41),IF(Itens_B!$D41="evidencia",IF(Entradas_B!K41="Sim",-Itens_B!$C41,0),0))))</f>
        <v/>
      </c>
      <c r="K43">
        <f>IF(Entradas_B!L41="N/A",0,IF(Itens_B!$D41="risco",IF(Entradas_B!L41=Itens_B!$E41,Itens_B!$C41,0),IF(Itens_B!$D41="mitigacao",IF(Entradas_B!L41="Sim",-Itens_B!$C41,Itens_B!$C41),IF(Itens_B!$D41="evidencia",IF(Entradas_B!L41="Sim",-Itens_B!$C41,0),0))))</f>
        <v/>
      </c>
      <c r="L43">
        <f>IF(Entradas_B!M41="N/A",0,IF(Itens_B!$D41="risco",IF(Entradas_B!M41=Itens_B!$E41,Itens_B!$C41,0),IF(Itens_B!$D41="mitigacao",IF(Entradas_B!M41="Sim",-Itens_B!$C41,Itens_B!$C41),IF(Itens_B!$D41="evidencia",IF(Entradas_B!M41="Sim",-Itens_B!$C41,0),0))))</f>
        <v/>
      </c>
      <c r="M43">
        <f>IF(Entradas_B!N41="N/A",0,IF(Itens_B!$D41="risco",IF(Entradas_B!N41=Itens_B!$E41,Itens_B!$C41,0),IF(Itens_B!$D41="mitigacao",IF(Entradas_B!N41="Sim",-Itens_B!$C41,Itens_B!$C41),IF(Itens_B!$D41="evidencia",IF(Entradas_B!N41="Sim",-Itens_B!$C41,0),0))))</f>
        <v/>
      </c>
      <c r="N43">
        <f>IF(Entradas_B!O41="N/A",0,IF(Itens_B!$D41="risco",IF(Entradas_B!O41=Itens_B!$E41,Itens_B!$C41,0),IF(Itens_B!$D41="mitigacao",IF(Entradas_B!O41="Sim",-Itens_B!$C41,Itens_B!$C41),IF(Itens_B!$D41="evidencia",IF(Entradas_B!O41="Sim",-Itens_B!$C41,0),0))))</f>
        <v/>
      </c>
      <c r="O43">
        <f>IF(Entradas_B!P41="N/A",0,IF(Itens_B!$D41="risco",IF(Entradas_B!P41=Itens_B!$E41,Itens_B!$C41,0),IF(Itens_B!$D41="mitigacao",IF(Entradas_B!P41="Sim",-Itens_B!$C41,Itens_B!$C41),IF(Itens_B!$D41="evidencia",IF(Entradas_B!P41="Sim",-Itens_B!$C41,0),0))))</f>
        <v/>
      </c>
      <c r="P43">
        <f>IF(Entradas_B!Q41="N/A",0,IF(Itens_B!$D41="risco",IF(Entradas_B!Q41=Itens_B!$E41,Itens_B!$C41,0),IF(Itens_B!$D41="mitigacao",IF(Entradas_B!Q41="Sim",-Itens_B!$C41,Itens_B!$C41),IF(Itens_B!$D41="evidencia",IF(Entradas_B!Q41="Sim",-Itens_B!$C41,0),0))))</f>
        <v/>
      </c>
      <c r="Q43">
        <f>IF(Entradas_B!R41="N/A",0,IF(Itens_B!$D41="risco",IF(Entradas_B!R41=Itens_B!$E41,Itens_B!$C41,0),IF(Itens_B!$D41="mitigacao",IF(Entradas_B!R41="Sim",-Itens_B!$C41,Itens_B!$C41),IF(Itens_B!$D41="evidencia",IF(Entradas_B!R41="Sim",-Itens_B!$C41,0),0))))</f>
        <v/>
      </c>
      <c r="R43">
        <f>IF(Entradas_B!S41="N/A",0,IF(Itens_B!$D41="risco",IF(Entradas_B!S41=Itens_B!$E41,Itens_B!$C41,0),IF(Itens_B!$D41="mitigacao",IF(Entradas_B!S41="Sim",-Itens_B!$C41,Itens_B!$C41),IF(Itens_B!$D41="evidencia",IF(Entradas_B!S41="Sim",-Itens_B!$C41,0),0))))</f>
        <v/>
      </c>
      <c r="S43">
        <f>IF(Entradas_B!T41="N/A",0,IF(Itens_B!$D41="risco",IF(Entradas_B!T41=Itens_B!$E41,Itens_B!$C41,0),IF(Itens_B!$D41="mitigacao",IF(Entradas_B!T41="Sim",-Itens_B!$C41,Itens_B!$C41),IF(Itens_B!$D41="evidencia",IF(Entradas_B!T41="Sim",-Itens_B!$C41,0),0))))</f>
        <v/>
      </c>
      <c r="T43">
        <f>IF(Entradas_B!U41="N/A",0,IF(Itens_B!$D41="risco",IF(Entradas_B!U41=Itens_B!$E41,Itens_B!$C41,0),IF(Itens_B!$D41="mitigacao",IF(Entradas_B!U41="Sim",-Itens_B!$C41,Itens_B!$C41),IF(Itens_B!$D41="evidencia",IF(Entradas_B!U41="Sim",-Itens_B!$C41,0),0))))</f>
        <v/>
      </c>
      <c r="U43">
        <f>IF(Entradas_B!V41="N/A",0,IF(Itens_B!$D41="risco",IF(Entradas_B!V41=Itens_B!$E41,Itens_B!$C41,0),IF(Itens_B!$D41="mitigacao",IF(Entradas_B!V41="Sim",-Itens_B!$C41,Itens_B!$C41),IF(Itens_B!$D41="evidencia",IF(Entradas_B!V41="Sim",-Itens_B!$C41,0),0))))</f>
        <v/>
      </c>
      <c r="V43">
        <f>IF(Entradas_B!W41="N/A",0,IF(Itens_B!$D41="risco",IF(Entradas_B!W41=Itens_B!$E41,Itens_B!$C41,0),IF(Itens_B!$D41="mitigacao",IF(Entradas_B!W41="Sim",-Itens_B!$C41,Itens_B!$C41),IF(Itens_B!$D41="evidencia",IF(Entradas_B!W41="Sim",-Itens_B!$C41,0),0))))</f>
        <v/>
      </c>
      <c r="W43">
        <f>IF(Entradas_B!X41="N/A",0,IF(Itens_B!$D41="risco",IF(Entradas_B!X41=Itens_B!$E41,Itens_B!$C41,0),IF(Itens_B!$D41="mitigacao",IF(Entradas_B!X41="Sim",-Itens_B!$C41,Itens_B!$C41),IF(Itens_B!$D41="evidencia",IF(Entradas_B!X41="Sim",-Itens_B!$C41,0),0))))</f>
        <v/>
      </c>
      <c r="X43">
        <f>IF(Entradas_B!Y41="N/A",0,IF(Itens_B!$D41="risco",IF(Entradas_B!Y41=Itens_B!$E41,Itens_B!$C41,0),IF(Itens_B!$D41="mitigacao",IF(Entradas_B!Y41="Sim",-Itens_B!$C41,Itens_B!$C41),IF(Itens_B!$D41="evidencia",IF(Entradas_B!Y41="Sim",-Itens_B!$C41,0),0))))</f>
        <v/>
      </c>
      <c r="Y43">
        <f>IF(Entradas_B!Z41="N/A",0,IF(Itens_B!$D41="risco",IF(Entradas_B!Z41=Itens_B!$E41,Itens_B!$C41,0),IF(Itens_B!$D41="mitigacao",IF(Entradas_B!Z41="Sim",-Itens_B!$C41,Itens_B!$C41),IF(Itens_B!$D41="evidencia",IF(Entradas_B!Z41="Sim",-Itens_B!$C41,0),0))))</f>
        <v/>
      </c>
      <c r="Z43">
        <f>IF(Entradas_B!AA41="N/A",0,IF(Itens_B!$D41="risco",IF(Entradas_B!AA41=Itens_B!$E41,Itens_B!$C41,0),IF(Itens_B!$D41="mitigacao",IF(Entradas_B!AA41="Sim",-Itens_B!$C41,Itens_B!$C41),IF(Itens_B!$D41="evidencia",IF(Entradas_B!AA41="Sim",-Itens_B!$C41,0),0))))</f>
        <v/>
      </c>
      <c r="AA43">
        <f>IF(Entradas_B!AB41="N/A",0,IF(Itens_B!$D41="risco",IF(Entradas_B!AB41=Itens_B!$E41,Itens_B!$C41,0),IF(Itens_B!$D41="mitigacao",IF(Entradas_B!AB41="Sim",-Itens_B!$C41,Itens_B!$C41),IF(Itens_B!$D41="evidencia",IF(Entradas_B!AB41="Sim",-Itens_B!$C41,0),0))))</f>
        <v/>
      </c>
      <c r="AB43">
        <f>IF(Entradas_B!AC41="N/A",0,IF(Itens_B!$D41="risco",IF(Entradas_B!AC41=Itens_B!$E41,Itens_B!$C41,0),IF(Itens_B!$D41="mitigacao",IF(Entradas_B!AC41="Sim",-Itens_B!$C41,Itens_B!$C41),IF(Itens_B!$D41="evidencia",IF(Entradas_B!AC41="Sim",-Itens_B!$C41,0),0))))</f>
        <v/>
      </c>
      <c r="AC43">
        <f>IF(Entradas_B!AD41="N/A",0,IF(Itens_B!$D41="risco",IF(Entradas_B!AD41=Itens_B!$E41,Itens_B!$C41,0),IF(Itens_B!$D41="mitigacao",IF(Entradas_B!AD41="Sim",-Itens_B!$C41,Itens_B!$C41),IF(Itens_B!$D41="evidencia",IF(Entradas_B!AD41="Sim",-Itens_B!$C41,0),0))))</f>
        <v/>
      </c>
      <c r="AD43">
        <f>IF(Entradas_B!AE41="N/A",0,IF(Itens_B!$D41="risco",IF(Entradas_B!AE41=Itens_B!$E41,Itens_B!$C41,0),IF(Itens_B!$D41="mitigacao",IF(Entradas_B!AE41="Sim",-Itens_B!$C41,Itens_B!$C41),IF(Itens_B!$D41="evidencia",IF(Entradas_B!AE41="Sim",-Itens_B!$C41,0),0))))</f>
        <v/>
      </c>
      <c r="AE43">
        <f>IF(Entradas_B!AF41="N/A",0,IF(Itens_B!$D41="risco",IF(Entradas_B!AF41=Itens_B!$E41,Itens_B!$C41,0),IF(Itens_B!$D41="mitigacao",IF(Entradas_B!AF41="Sim",-Itens_B!$C41,Itens_B!$C41),IF(Itens_B!$D41="evidencia",IF(Entradas_B!AF41="Sim",-Itens_B!$C41,0),0))))</f>
        <v/>
      </c>
      <c r="AF43">
        <f>IF(Entradas_B!AG41="N/A",0,IF(Itens_B!$D41="risco",IF(Entradas_B!AG41=Itens_B!$E41,Itens_B!$C41,0),IF(Itens_B!$D41="mitigacao",IF(Entradas_B!AG41="Sim",-Itens_B!$C41,Itens_B!$C41),IF(Itens_B!$D41="evidencia",IF(Entradas_B!AG41="Sim",-Itens_B!$C41,0),0))))</f>
        <v/>
      </c>
    </row>
    <row r="44">
      <c r="A44" t="inlineStr">
        <is>
          <t>P6.5</t>
        </is>
      </c>
      <c r="B44">
        <f>IF(Entradas_B!C42="N/A",0,IF(Itens_B!$D42="risco",IF(Entradas_B!C42=Itens_B!$E42,Itens_B!$C42,0),IF(Itens_B!$D42="mitigacao",IF(Entradas_B!C42="Sim",-Itens_B!$C42,Itens_B!$C42),IF(Itens_B!$D42="evidencia",IF(Entradas_B!C42="Sim",-Itens_B!$C42,0),0))))</f>
        <v/>
      </c>
      <c r="C44">
        <f>IF(Entradas_B!D42="N/A",0,IF(Itens_B!$D42="risco",IF(Entradas_B!D42=Itens_B!$E42,Itens_B!$C42,0),IF(Itens_B!$D42="mitigacao",IF(Entradas_B!D42="Sim",-Itens_B!$C42,Itens_B!$C42),IF(Itens_B!$D42="evidencia",IF(Entradas_B!D42="Sim",-Itens_B!$C42,0),0))))</f>
        <v/>
      </c>
      <c r="D44">
        <f>IF(Entradas_B!E42="N/A",0,IF(Itens_B!$D42="risco",IF(Entradas_B!E42=Itens_B!$E42,Itens_B!$C42,0),IF(Itens_B!$D42="mitigacao",IF(Entradas_B!E42="Sim",-Itens_B!$C42,Itens_B!$C42),IF(Itens_B!$D42="evidencia",IF(Entradas_B!E42="Sim",-Itens_B!$C42,0),0))))</f>
        <v/>
      </c>
      <c r="E44">
        <f>IF(Entradas_B!F42="N/A",0,IF(Itens_B!$D42="risco",IF(Entradas_B!F42=Itens_B!$E42,Itens_B!$C42,0),IF(Itens_B!$D42="mitigacao",IF(Entradas_B!F42="Sim",-Itens_B!$C42,Itens_B!$C42),IF(Itens_B!$D42="evidencia",IF(Entradas_B!F42="Sim",-Itens_B!$C42,0),0))))</f>
        <v/>
      </c>
      <c r="F44">
        <f>IF(Entradas_B!G42="N/A",0,IF(Itens_B!$D42="risco",IF(Entradas_B!G42=Itens_B!$E42,Itens_B!$C42,0),IF(Itens_B!$D42="mitigacao",IF(Entradas_B!G42="Sim",-Itens_B!$C42,Itens_B!$C42),IF(Itens_B!$D42="evidencia",IF(Entradas_B!G42="Sim",-Itens_B!$C42,0),0))))</f>
        <v/>
      </c>
      <c r="G44">
        <f>IF(Entradas_B!H42="N/A",0,IF(Itens_B!$D42="risco",IF(Entradas_B!H42=Itens_B!$E42,Itens_B!$C42,0),IF(Itens_B!$D42="mitigacao",IF(Entradas_B!H42="Sim",-Itens_B!$C42,Itens_B!$C42),IF(Itens_B!$D42="evidencia",IF(Entradas_B!H42="Sim",-Itens_B!$C42,0),0))))</f>
        <v/>
      </c>
      <c r="H44">
        <f>IF(Entradas_B!I42="N/A",0,IF(Itens_B!$D42="risco",IF(Entradas_B!I42=Itens_B!$E42,Itens_B!$C42,0),IF(Itens_B!$D42="mitigacao",IF(Entradas_B!I42="Sim",-Itens_B!$C42,Itens_B!$C42),IF(Itens_B!$D42="evidencia",IF(Entradas_B!I42="Sim",-Itens_B!$C42,0),0))))</f>
        <v/>
      </c>
      <c r="I44">
        <f>IF(Entradas_B!J42="N/A",0,IF(Itens_B!$D42="risco",IF(Entradas_B!J42=Itens_B!$E42,Itens_B!$C42,0),IF(Itens_B!$D42="mitigacao",IF(Entradas_B!J42="Sim",-Itens_B!$C42,Itens_B!$C42),IF(Itens_B!$D42="evidencia",IF(Entradas_B!J42="Sim",-Itens_B!$C42,0),0))))</f>
        <v/>
      </c>
      <c r="J44">
        <f>IF(Entradas_B!K42="N/A",0,IF(Itens_B!$D42="risco",IF(Entradas_B!K42=Itens_B!$E42,Itens_B!$C42,0),IF(Itens_B!$D42="mitigacao",IF(Entradas_B!K42="Sim",-Itens_B!$C42,Itens_B!$C42),IF(Itens_B!$D42="evidencia",IF(Entradas_B!K42="Sim",-Itens_B!$C42,0),0))))</f>
        <v/>
      </c>
      <c r="K44">
        <f>IF(Entradas_B!L42="N/A",0,IF(Itens_B!$D42="risco",IF(Entradas_B!L42=Itens_B!$E42,Itens_B!$C42,0),IF(Itens_B!$D42="mitigacao",IF(Entradas_B!L42="Sim",-Itens_B!$C42,Itens_B!$C42),IF(Itens_B!$D42="evidencia",IF(Entradas_B!L42="Sim",-Itens_B!$C42,0),0))))</f>
        <v/>
      </c>
      <c r="L44">
        <f>IF(Entradas_B!M42="N/A",0,IF(Itens_B!$D42="risco",IF(Entradas_B!M42=Itens_B!$E42,Itens_B!$C42,0),IF(Itens_B!$D42="mitigacao",IF(Entradas_B!M42="Sim",-Itens_B!$C42,Itens_B!$C42),IF(Itens_B!$D42="evidencia",IF(Entradas_B!M42="Sim",-Itens_B!$C42,0),0))))</f>
        <v/>
      </c>
      <c r="M44">
        <f>IF(Entradas_B!N42="N/A",0,IF(Itens_B!$D42="risco",IF(Entradas_B!N42=Itens_B!$E42,Itens_B!$C42,0),IF(Itens_B!$D42="mitigacao",IF(Entradas_B!N42="Sim",-Itens_B!$C42,Itens_B!$C42),IF(Itens_B!$D42="evidencia",IF(Entradas_B!N42="Sim",-Itens_B!$C42,0),0))))</f>
        <v/>
      </c>
      <c r="N44">
        <f>IF(Entradas_B!O42="N/A",0,IF(Itens_B!$D42="risco",IF(Entradas_B!O42=Itens_B!$E42,Itens_B!$C42,0),IF(Itens_B!$D42="mitigacao",IF(Entradas_B!O42="Sim",-Itens_B!$C42,Itens_B!$C42),IF(Itens_B!$D42="evidencia",IF(Entradas_B!O42="Sim",-Itens_B!$C42,0),0))))</f>
        <v/>
      </c>
      <c r="O44">
        <f>IF(Entradas_B!P42="N/A",0,IF(Itens_B!$D42="risco",IF(Entradas_B!P42=Itens_B!$E42,Itens_B!$C42,0),IF(Itens_B!$D42="mitigacao",IF(Entradas_B!P42="Sim",-Itens_B!$C42,Itens_B!$C42),IF(Itens_B!$D42="evidencia",IF(Entradas_B!P42="Sim",-Itens_B!$C42,0),0))))</f>
        <v/>
      </c>
      <c r="P44">
        <f>IF(Entradas_B!Q42="N/A",0,IF(Itens_B!$D42="risco",IF(Entradas_B!Q42=Itens_B!$E42,Itens_B!$C42,0),IF(Itens_B!$D42="mitigacao",IF(Entradas_B!Q42="Sim",-Itens_B!$C42,Itens_B!$C42),IF(Itens_B!$D42="evidencia",IF(Entradas_B!Q42="Sim",-Itens_B!$C42,0),0))))</f>
        <v/>
      </c>
      <c r="Q44">
        <f>IF(Entradas_B!R42="N/A",0,IF(Itens_B!$D42="risco",IF(Entradas_B!R42=Itens_B!$E42,Itens_B!$C42,0),IF(Itens_B!$D42="mitigacao",IF(Entradas_B!R42="Sim",-Itens_B!$C42,Itens_B!$C42),IF(Itens_B!$D42="evidencia",IF(Entradas_B!R42="Sim",-Itens_B!$C42,0),0))))</f>
        <v/>
      </c>
      <c r="R44">
        <f>IF(Entradas_B!S42="N/A",0,IF(Itens_B!$D42="risco",IF(Entradas_B!S42=Itens_B!$E42,Itens_B!$C42,0),IF(Itens_B!$D42="mitigacao",IF(Entradas_B!S42="Sim",-Itens_B!$C42,Itens_B!$C42),IF(Itens_B!$D42="evidencia",IF(Entradas_B!S42="Sim",-Itens_B!$C42,0),0))))</f>
        <v/>
      </c>
      <c r="S44">
        <f>IF(Entradas_B!T42="N/A",0,IF(Itens_B!$D42="risco",IF(Entradas_B!T42=Itens_B!$E42,Itens_B!$C42,0),IF(Itens_B!$D42="mitigacao",IF(Entradas_B!T42="Sim",-Itens_B!$C42,Itens_B!$C42),IF(Itens_B!$D42="evidencia",IF(Entradas_B!T42="Sim",-Itens_B!$C42,0),0))))</f>
        <v/>
      </c>
      <c r="T44">
        <f>IF(Entradas_B!U42="N/A",0,IF(Itens_B!$D42="risco",IF(Entradas_B!U42=Itens_B!$E42,Itens_B!$C42,0),IF(Itens_B!$D42="mitigacao",IF(Entradas_B!U42="Sim",-Itens_B!$C42,Itens_B!$C42),IF(Itens_B!$D42="evidencia",IF(Entradas_B!U42="Sim",-Itens_B!$C42,0),0))))</f>
        <v/>
      </c>
      <c r="U44">
        <f>IF(Entradas_B!V42="N/A",0,IF(Itens_B!$D42="risco",IF(Entradas_B!V42=Itens_B!$E42,Itens_B!$C42,0),IF(Itens_B!$D42="mitigacao",IF(Entradas_B!V42="Sim",-Itens_B!$C42,Itens_B!$C42),IF(Itens_B!$D42="evidencia",IF(Entradas_B!V42="Sim",-Itens_B!$C42,0),0))))</f>
        <v/>
      </c>
      <c r="V44">
        <f>IF(Entradas_B!W42="N/A",0,IF(Itens_B!$D42="risco",IF(Entradas_B!W42=Itens_B!$E42,Itens_B!$C42,0),IF(Itens_B!$D42="mitigacao",IF(Entradas_B!W42="Sim",-Itens_B!$C42,Itens_B!$C42),IF(Itens_B!$D42="evidencia",IF(Entradas_B!W42="Sim",-Itens_B!$C42,0),0))))</f>
        <v/>
      </c>
      <c r="W44">
        <f>IF(Entradas_B!X42="N/A",0,IF(Itens_B!$D42="risco",IF(Entradas_B!X42=Itens_B!$E42,Itens_B!$C42,0),IF(Itens_B!$D42="mitigacao",IF(Entradas_B!X42="Sim",-Itens_B!$C42,Itens_B!$C42),IF(Itens_B!$D42="evidencia",IF(Entradas_B!X42="Sim",-Itens_B!$C42,0),0))))</f>
        <v/>
      </c>
      <c r="X44">
        <f>IF(Entradas_B!Y42="N/A",0,IF(Itens_B!$D42="risco",IF(Entradas_B!Y42=Itens_B!$E42,Itens_B!$C42,0),IF(Itens_B!$D42="mitigacao",IF(Entradas_B!Y42="Sim",-Itens_B!$C42,Itens_B!$C42),IF(Itens_B!$D42="evidencia",IF(Entradas_B!Y42="Sim",-Itens_B!$C42,0),0))))</f>
        <v/>
      </c>
      <c r="Y44">
        <f>IF(Entradas_B!Z42="N/A",0,IF(Itens_B!$D42="risco",IF(Entradas_B!Z42=Itens_B!$E42,Itens_B!$C42,0),IF(Itens_B!$D42="mitigacao",IF(Entradas_B!Z42="Sim",-Itens_B!$C42,Itens_B!$C42),IF(Itens_B!$D42="evidencia",IF(Entradas_B!Z42="Sim",-Itens_B!$C42,0),0))))</f>
        <v/>
      </c>
      <c r="Z44">
        <f>IF(Entradas_B!AA42="N/A",0,IF(Itens_B!$D42="risco",IF(Entradas_B!AA42=Itens_B!$E42,Itens_B!$C42,0),IF(Itens_B!$D42="mitigacao",IF(Entradas_B!AA42="Sim",-Itens_B!$C42,Itens_B!$C42),IF(Itens_B!$D42="evidencia",IF(Entradas_B!AA42="Sim",-Itens_B!$C42,0),0))))</f>
        <v/>
      </c>
      <c r="AA44">
        <f>IF(Entradas_B!AB42="N/A",0,IF(Itens_B!$D42="risco",IF(Entradas_B!AB42=Itens_B!$E42,Itens_B!$C42,0),IF(Itens_B!$D42="mitigacao",IF(Entradas_B!AB42="Sim",-Itens_B!$C42,Itens_B!$C42),IF(Itens_B!$D42="evidencia",IF(Entradas_B!AB42="Sim",-Itens_B!$C42,0),0))))</f>
        <v/>
      </c>
      <c r="AB44">
        <f>IF(Entradas_B!AC42="N/A",0,IF(Itens_B!$D42="risco",IF(Entradas_B!AC42=Itens_B!$E42,Itens_B!$C42,0),IF(Itens_B!$D42="mitigacao",IF(Entradas_B!AC42="Sim",-Itens_B!$C42,Itens_B!$C42),IF(Itens_B!$D42="evidencia",IF(Entradas_B!AC42="Sim",-Itens_B!$C42,0),0))))</f>
        <v/>
      </c>
      <c r="AC44">
        <f>IF(Entradas_B!AD42="N/A",0,IF(Itens_B!$D42="risco",IF(Entradas_B!AD42=Itens_B!$E42,Itens_B!$C42,0),IF(Itens_B!$D42="mitigacao",IF(Entradas_B!AD42="Sim",-Itens_B!$C42,Itens_B!$C42),IF(Itens_B!$D42="evidencia",IF(Entradas_B!AD42="Sim",-Itens_B!$C42,0),0))))</f>
        <v/>
      </c>
      <c r="AD44">
        <f>IF(Entradas_B!AE42="N/A",0,IF(Itens_B!$D42="risco",IF(Entradas_B!AE42=Itens_B!$E42,Itens_B!$C42,0),IF(Itens_B!$D42="mitigacao",IF(Entradas_B!AE42="Sim",-Itens_B!$C42,Itens_B!$C42),IF(Itens_B!$D42="evidencia",IF(Entradas_B!AE42="Sim",-Itens_B!$C42,0),0))))</f>
        <v/>
      </c>
      <c r="AE44">
        <f>IF(Entradas_B!AF42="N/A",0,IF(Itens_B!$D42="risco",IF(Entradas_B!AF42=Itens_B!$E42,Itens_B!$C42,0),IF(Itens_B!$D42="mitigacao",IF(Entradas_B!AF42="Sim",-Itens_B!$C42,Itens_B!$C42),IF(Itens_B!$D42="evidencia",IF(Entradas_B!AF42="Sim",-Itens_B!$C42,0),0))))</f>
        <v/>
      </c>
      <c r="AF44">
        <f>IF(Entradas_B!AG42="N/A",0,IF(Itens_B!$D42="risco",IF(Entradas_B!AG42=Itens_B!$E42,Itens_B!$C42,0),IF(Itens_B!$D42="mitigacao",IF(Entradas_B!AG42="Sim",-Itens_B!$C42,Itens_B!$C42),IF(Itens_B!$D42="evidencia",IF(Entradas_B!AG42="Sim",-Itens_B!$C42,0),0))))</f>
        <v/>
      </c>
    </row>
    <row r="45">
      <c r="A45" t="inlineStr">
        <is>
          <t>P6.6</t>
        </is>
      </c>
      <c r="B45">
        <f>IF(Entradas_B!C43="N/A",0,IF(Itens_B!$D43="risco",IF(Entradas_B!C43=Itens_B!$E43,Itens_B!$C43,0),IF(Itens_B!$D43="mitigacao",IF(Entradas_B!C43="Sim",-Itens_B!$C43,Itens_B!$C43),IF(Itens_B!$D43="evidencia",IF(Entradas_B!C43="Sim",-Itens_B!$C43,0),0))))</f>
        <v/>
      </c>
      <c r="C45">
        <f>IF(Entradas_B!D43="N/A",0,IF(Itens_B!$D43="risco",IF(Entradas_B!D43=Itens_B!$E43,Itens_B!$C43,0),IF(Itens_B!$D43="mitigacao",IF(Entradas_B!D43="Sim",-Itens_B!$C43,Itens_B!$C43),IF(Itens_B!$D43="evidencia",IF(Entradas_B!D43="Sim",-Itens_B!$C43,0),0))))</f>
        <v/>
      </c>
      <c r="D45">
        <f>IF(Entradas_B!E43="N/A",0,IF(Itens_B!$D43="risco",IF(Entradas_B!E43=Itens_B!$E43,Itens_B!$C43,0),IF(Itens_B!$D43="mitigacao",IF(Entradas_B!E43="Sim",-Itens_B!$C43,Itens_B!$C43),IF(Itens_B!$D43="evidencia",IF(Entradas_B!E43="Sim",-Itens_B!$C43,0),0))))</f>
        <v/>
      </c>
      <c r="E45">
        <f>IF(Entradas_B!F43="N/A",0,IF(Itens_B!$D43="risco",IF(Entradas_B!F43=Itens_B!$E43,Itens_B!$C43,0),IF(Itens_B!$D43="mitigacao",IF(Entradas_B!F43="Sim",-Itens_B!$C43,Itens_B!$C43),IF(Itens_B!$D43="evidencia",IF(Entradas_B!F43="Sim",-Itens_B!$C43,0),0))))</f>
        <v/>
      </c>
      <c r="F45">
        <f>IF(Entradas_B!G43="N/A",0,IF(Itens_B!$D43="risco",IF(Entradas_B!G43=Itens_B!$E43,Itens_B!$C43,0),IF(Itens_B!$D43="mitigacao",IF(Entradas_B!G43="Sim",-Itens_B!$C43,Itens_B!$C43),IF(Itens_B!$D43="evidencia",IF(Entradas_B!G43="Sim",-Itens_B!$C43,0),0))))</f>
        <v/>
      </c>
      <c r="G45">
        <f>IF(Entradas_B!H43="N/A",0,IF(Itens_B!$D43="risco",IF(Entradas_B!H43=Itens_B!$E43,Itens_B!$C43,0),IF(Itens_B!$D43="mitigacao",IF(Entradas_B!H43="Sim",-Itens_B!$C43,Itens_B!$C43),IF(Itens_B!$D43="evidencia",IF(Entradas_B!H43="Sim",-Itens_B!$C43,0),0))))</f>
        <v/>
      </c>
      <c r="H45">
        <f>IF(Entradas_B!I43="N/A",0,IF(Itens_B!$D43="risco",IF(Entradas_B!I43=Itens_B!$E43,Itens_B!$C43,0),IF(Itens_B!$D43="mitigacao",IF(Entradas_B!I43="Sim",-Itens_B!$C43,Itens_B!$C43),IF(Itens_B!$D43="evidencia",IF(Entradas_B!I43="Sim",-Itens_B!$C43,0),0))))</f>
        <v/>
      </c>
      <c r="I45">
        <f>IF(Entradas_B!J43="N/A",0,IF(Itens_B!$D43="risco",IF(Entradas_B!J43=Itens_B!$E43,Itens_B!$C43,0),IF(Itens_B!$D43="mitigacao",IF(Entradas_B!J43="Sim",-Itens_B!$C43,Itens_B!$C43),IF(Itens_B!$D43="evidencia",IF(Entradas_B!J43="Sim",-Itens_B!$C43,0),0))))</f>
        <v/>
      </c>
      <c r="J45">
        <f>IF(Entradas_B!K43="N/A",0,IF(Itens_B!$D43="risco",IF(Entradas_B!K43=Itens_B!$E43,Itens_B!$C43,0),IF(Itens_B!$D43="mitigacao",IF(Entradas_B!K43="Sim",-Itens_B!$C43,Itens_B!$C43),IF(Itens_B!$D43="evidencia",IF(Entradas_B!K43="Sim",-Itens_B!$C43,0),0))))</f>
        <v/>
      </c>
      <c r="K45">
        <f>IF(Entradas_B!L43="N/A",0,IF(Itens_B!$D43="risco",IF(Entradas_B!L43=Itens_B!$E43,Itens_B!$C43,0),IF(Itens_B!$D43="mitigacao",IF(Entradas_B!L43="Sim",-Itens_B!$C43,Itens_B!$C43),IF(Itens_B!$D43="evidencia",IF(Entradas_B!L43="Sim",-Itens_B!$C43,0),0))))</f>
        <v/>
      </c>
      <c r="L45">
        <f>IF(Entradas_B!M43="N/A",0,IF(Itens_B!$D43="risco",IF(Entradas_B!M43=Itens_B!$E43,Itens_B!$C43,0),IF(Itens_B!$D43="mitigacao",IF(Entradas_B!M43="Sim",-Itens_B!$C43,Itens_B!$C43),IF(Itens_B!$D43="evidencia",IF(Entradas_B!M43="Sim",-Itens_B!$C43,0),0))))</f>
        <v/>
      </c>
      <c r="M45">
        <f>IF(Entradas_B!N43="N/A",0,IF(Itens_B!$D43="risco",IF(Entradas_B!N43=Itens_B!$E43,Itens_B!$C43,0),IF(Itens_B!$D43="mitigacao",IF(Entradas_B!N43="Sim",-Itens_B!$C43,Itens_B!$C43),IF(Itens_B!$D43="evidencia",IF(Entradas_B!N43="Sim",-Itens_B!$C43,0),0))))</f>
        <v/>
      </c>
      <c r="N45">
        <f>IF(Entradas_B!O43="N/A",0,IF(Itens_B!$D43="risco",IF(Entradas_B!O43=Itens_B!$E43,Itens_B!$C43,0),IF(Itens_B!$D43="mitigacao",IF(Entradas_B!O43="Sim",-Itens_B!$C43,Itens_B!$C43),IF(Itens_B!$D43="evidencia",IF(Entradas_B!O43="Sim",-Itens_B!$C43,0),0))))</f>
        <v/>
      </c>
      <c r="O45">
        <f>IF(Entradas_B!P43="N/A",0,IF(Itens_B!$D43="risco",IF(Entradas_B!P43=Itens_B!$E43,Itens_B!$C43,0),IF(Itens_B!$D43="mitigacao",IF(Entradas_B!P43="Sim",-Itens_B!$C43,Itens_B!$C43),IF(Itens_B!$D43="evidencia",IF(Entradas_B!P43="Sim",-Itens_B!$C43,0),0))))</f>
        <v/>
      </c>
      <c r="P45">
        <f>IF(Entradas_B!Q43="N/A",0,IF(Itens_B!$D43="risco",IF(Entradas_B!Q43=Itens_B!$E43,Itens_B!$C43,0),IF(Itens_B!$D43="mitigacao",IF(Entradas_B!Q43="Sim",-Itens_B!$C43,Itens_B!$C43),IF(Itens_B!$D43="evidencia",IF(Entradas_B!Q43="Sim",-Itens_B!$C43,0),0))))</f>
        <v/>
      </c>
      <c r="Q45">
        <f>IF(Entradas_B!R43="N/A",0,IF(Itens_B!$D43="risco",IF(Entradas_B!R43=Itens_B!$E43,Itens_B!$C43,0),IF(Itens_B!$D43="mitigacao",IF(Entradas_B!R43="Sim",-Itens_B!$C43,Itens_B!$C43),IF(Itens_B!$D43="evidencia",IF(Entradas_B!R43="Sim",-Itens_B!$C43,0),0))))</f>
        <v/>
      </c>
      <c r="R45">
        <f>IF(Entradas_B!S43="N/A",0,IF(Itens_B!$D43="risco",IF(Entradas_B!S43=Itens_B!$E43,Itens_B!$C43,0),IF(Itens_B!$D43="mitigacao",IF(Entradas_B!S43="Sim",-Itens_B!$C43,Itens_B!$C43),IF(Itens_B!$D43="evidencia",IF(Entradas_B!S43="Sim",-Itens_B!$C43,0),0))))</f>
        <v/>
      </c>
      <c r="S45">
        <f>IF(Entradas_B!T43="N/A",0,IF(Itens_B!$D43="risco",IF(Entradas_B!T43=Itens_B!$E43,Itens_B!$C43,0),IF(Itens_B!$D43="mitigacao",IF(Entradas_B!T43="Sim",-Itens_B!$C43,Itens_B!$C43),IF(Itens_B!$D43="evidencia",IF(Entradas_B!T43="Sim",-Itens_B!$C43,0),0))))</f>
        <v/>
      </c>
      <c r="T45">
        <f>IF(Entradas_B!U43="N/A",0,IF(Itens_B!$D43="risco",IF(Entradas_B!U43=Itens_B!$E43,Itens_B!$C43,0),IF(Itens_B!$D43="mitigacao",IF(Entradas_B!U43="Sim",-Itens_B!$C43,Itens_B!$C43),IF(Itens_B!$D43="evidencia",IF(Entradas_B!U43="Sim",-Itens_B!$C43,0),0))))</f>
        <v/>
      </c>
      <c r="U45">
        <f>IF(Entradas_B!V43="N/A",0,IF(Itens_B!$D43="risco",IF(Entradas_B!V43=Itens_B!$E43,Itens_B!$C43,0),IF(Itens_B!$D43="mitigacao",IF(Entradas_B!V43="Sim",-Itens_B!$C43,Itens_B!$C43),IF(Itens_B!$D43="evidencia",IF(Entradas_B!V43="Sim",-Itens_B!$C43,0),0))))</f>
        <v/>
      </c>
      <c r="V45">
        <f>IF(Entradas_B!W43="N/A",0,IF(Itens_B!$D43="risco",IF(Entradas_B!W43=Itens_B!$E43,Itens_B!$C43,0),IF(Itens_B!$D43="mitigacao",IF(Entradas_B!W43="Sim",-Itens_B!$C43,Itens_B!$C43),IF(Itens_B!$D43="evidencia",IF(Entradas_B!W43="Sim",-Itens_B!$C43,0),0))))</f>
        <v/>
      </c>
      <c r="W45">
        <f>IF(Entradas_B!X43="N/A",0,IF(Itens_B!$D43="risco",IF(Entradas_B!X43=Itens_B!$E43,Itens_B!$C43,0),IF(Itens_B!$D43="mitigacao",IF(Entradas_B!X43="Sim",-Itens_B!$C43,Itens_B!$C43),IF(Itens_B!$D43="evidencia",IF(Entradas_B!X43="Sim",-Itens_B!$C43,0),0))))</f>
        <v/>
      </c>
      <c r="X45">
        <f>IF(Entradas_B!Y43="N/A",0,IF(Itens_B!$D43="risco",IF(Entradas_B!Y43=Itens_B!$E43,Itens_B!$C43,0),IF(Itens_B!$D43="mitigacao",IF(Entradas_B!Y43="Sim",-Itens_B!$C43,Itens_B!$C43),IF(Itens_B!$D43="evidencia",IF(Entradas_B!Y43="Sim",-Itens_B!$C43,0),0))))</f>
        <v/>
      </c>
      <c r="Y45">
        <f>IF(Entradas_B!Z43="N/A",0,IF(Itens_B!$D43="risco",IF(Entradas_B!Z43=Itens_B!$E43,Itens_B!$C43,0),IF(Itens_B!$D43="mitigacao",IF(Entradas_B!Z43="Sim",-Itens_B!$C43,Itens_B!$C43),IF(Itens_B!$D43="evidencia",IF(Entradas_B!Z43="Sim",-Itens_B!$C43,0),0))))</f>
        <v/>
      </c>
      <c r="Z45">
        <f>IF(Entradas_B!AA43="N/A",0,IF(Itens_B!$D43="risco",IF(Entradas_B!AA43=Itens_B!$E43,Itens_B!$C43,0),IF(Itens_B!$D43="mitigacao",IF(Entradas_B!AA43="Sim",-Itens_B!$C43,Itens_B!$C43),IF(Itens_B!$D43="evidencia",IF(Entradas_B!AA43="Sim",-Itens_B!$C43,0),0))))</f>
        <v/>
      </c>
      <c r="AA45">
        <f>IF(Entradas_B!AB43="N/A",0,IF(Itens_B!$D43="risco",IF(Entradas_B!AB43=Itens_B!$E43,Itens_B!$C43,0),IF(Itens_B!$D43="mitigacao",IF(Entradas_B!AB43="Sim",-Itens_B!$C43,Itens_B!$C43),IF(Itens_B!$D43="evidencia",IF(Entradas_B!AB43="Sim",-Itens_B!$C43,0),0))))</f>
        <v/>
      </c>
      <c r="AB45">
        <f>IF(Entradas_B!AC43="N/A",0,IF(Itens_B!$D43="risco",IF(Entradas_B!AC43=Itens_B!$E43,Itens_B!$C43,0),IF(Itens_B!$D43="mitigacao",IF(Entradas_B!AC43="Sim",-Itens_B!$C43,Itens_B!$C43),IF(Itens_B!$D43="evidencia",IF(Entradas_B!AC43="Sim",-Itens_B!$C43,0),0))))</f>
        <v/>
      </c>
      <c r="AC45">
        <f>IF(Entradas_B!AD43="N/A",0,IF(Itens_B!$D43="risco",IF(Entradas_B!AD43=Itens_B!$E43,Itens_B!$C43,0),IF(Itens_B!$D43="mitigacao",IF(Entradas_B!AD43="Sim",-Itens_B!$C43,Itens_B!$C43),IF(Itens_B!$D43="evidencia",IF(Entradas_B!AD43="Sim",-Itens_B!$C43,0),0))))</f>
        <v/>
      </c>
      <c r="AD45">
        <f>IF(Entradas_B!AE43="N/A",0,IF(Itens_B!$D43="risco",IF(Entradas_B!AE43=Itens_B!$E43,Itens_B!$C43,0),IF(Itens_B!$D43="mitigacao",IF(Entradas_B!AE43="Sim",-Itens_B!$C43,Itens_B!$C43),IF(Itens_B!$D43="evidencia",IF(Entradas_B!AE43="Sim",-Itens_B!$C43,0),0))))</f>
        <v/>
      </c>
      <c r="AE45">
        <f>IF(Entradas_B!AF43="N/A",0,IF(Itens_B!$D43="risco",IF(Entradas_B!AF43=Itens_B!$E43,Itens_B!$C43,0),IF(Itens_B!$D43="mitigacao",IF(Entradas_B!AF43="Sim",-Itens_B!$C43,Itens_B!$C43),IF(Itens_B!$D43="evidencia",IF(Entradas_B!AF43="Sim",-Itens_B!$C43,0),0))))</f>
        <v/>
      </c>
      <c r="AF45">
        <f>IF(Entradas_B!AG43="N/A",0,IF(Itens_B!$D43="risco",IF(Entradas_B!AG43=Itens_B!$E43,Itens_B!$C43,0),IF(Itens_B!$D43="mitigacao",IF(Entradas_B!AG43="Sim",-Itens_B!$C43,Itens_B!$C43),IF(Itens_B!$D43="evidencia",IF(Entradas_B!AG43="Sim",-Itens_B!$C43,0),0))))</f>
        <v/>
      </c>
    </row>
    <row r="46">
      <c r="A46" t="inlineStr">
        <is>
          <t>P6.7</t>
        </is>
      </c>
      <c r="B46">
        <f>IF(Entradas_B!C44="N/A",0,IF(Itens_B!$D44="risco",IF(Entradas_B!C44=Itens_B!$E44,Itens_B!$C44,0),IF(Itens_B!$D44="mitigacao",IF(Entradas_B!C44="Sim",-Itens_B!$C44,Itens_B!$C44),IF(Itens_B!$D44="evidencia",IF(Entradas_B!C44="Sim",-Itens_B!$C44,0),0))))</f>
        <v/>
      </c>
      <c r="C46">
        <f>IF(Entradas_B!D44="N/A",0,IF(Itens_B!$D44="risco",IF(Entradas_B!D44=Itens_B!$E44,Itens_B!$C44,0),IF(Itens_B!$D44="mitigacao",IF(Entradas_B!D44="Sim",-Itens_B!$C44,Itens_B!$C44),IF(Itens_B!$D44="evidencia",IF(Entradas_B!D44="Sim",-Itens_B!$C44,0),0))))</f>
        <v/>
      </c>
      <c r="D46">
        <f>IF(Entradas_B!E44="N/A",0,IF(Itens_B!$D44="risco",IF(Entradas_B!E44=Itens_B!$E44,Itens_B!$C44,0),IF(Itens_B!$D44="mitigacao",IF(Entradas_B!E44="Sim",-Itens_B!$C44,Itens_B!$C44),IF(Itens_B!$D44="evidencia",IF(Entradas_B!E44="Sim",-Itens_B!$C44,0),0))))</f>
        <v/>
      </c>
      <c r="E46">
        <f>IF(Entradas_B!F44="N/A",0,IF(Itens_B!$D44="risco",IF(Entradas_B!F44=Itens_B!$E44,Itens_B!$C44,0),IF(Itens_B!$D44="mitigacao",IF(Entradas_B!F44="Sim",-Itens_B!$C44,Itens_B!$C44),IF(Itens_B!$D44="evidencia",IF(Entradas_B!F44="Sim",-Itens_B!$C44,0),0))))</f>
        <v/>
      </c>
      <c r="F46">
        <f>IF(Entradas_B!G44="N/A",0,IF(Itens_B!$D44="risco",IF(Entradas_B!G44=Itens_B!$E44,Itens_B!$C44,0),IF(Itens_B!$D44="mitigacao",IF(Entradas_B!G44="Sim",-Itens_B!$C44,Itens_B!$C44),IF(Itens_B!$D44="evidencia",IF(Entradas_B!G44="Sim",-Itens_B!$C44,0),0))))</f>
        <v/>
      </c>
      <c r="G46">
        <f>IF(Entradas_B!H44="N/A",0,IF(Itens_B!$D44="risco",IF(Entradas_B!H44=Itens_B!$E44,Itens_B!$C44,0),IF(Itens_B!$D44="mitigacao",IF(Entradas_B!H44="Sim",-Itens_B!$C44,Itens_B!$C44),IF(Itens_B!$D44="evidencia",IF(Entradas_B!H44="Sim",-Itens_B!$C44,0),0))))</f>
        <v/>
      </c>
      <c r="H46">
        <f>IF(Entradas_B!I44="N/A",0,IF(Itens_B!$D44="risco",IF(Entradas_B!I44=Itens_B!$E44,Itens_B!$C44,0),IF(Itens_B!$D44="mitigacao",IF(Entradas_B!I44="Sim",-Itens_B!$C44,Itens_B!$C44),IF(Itens_B!$D44="evidencia",IF(Entradas_B!I44="Sim",-Itens_B!$C44,0),0))))</f>
        <v/>
      </c>
      <c r="I46">
        <f>IF(Entradas_B!J44="N/A",0,IF(Itens_B!$D44="risco",IF(Entradas_B!J44=Itens_B!$E44,Itens_B!$C44,0),IF(Itens_B!$D44="mitigacao",IF(Entradas_B!J44="Sim",-Itens_B!$C44,Itens_B!$C44),IF(Itens_B!$D44="evidencia",IF(Entradas_B!J44="Sim",-Itens_B!$C44,0),0))))</f>
        <v/>
      </c>
      <c r="J46">
        <f>IF(Entradas_B!K44="N/A",0,IF(Itens_B!$D44="risco",IF(Entradas_B!K44=Itens_B!$E44,Itens_B!$C44,0),IF(Itens_B!$D44="mitigacao",IF(Entradas_B!K44="Sim",-Itens_B!$C44,Itens_B!$C44),IF(Itens_B!$D44="evidencia",IF(Entradas_B!K44="Sim",-Itens_B!$C44,0),0))))</f>
        <v/>
      </c>
      <c r="K46">
        <f>IF(Entradas_B!L44="N/A",0,IF(Itens_B!$D44="risco",IF(Entradas_B!L44=Itens_B!$E44,Itens_B!$C44,0),IF(Itens_B!$D44="mitigacao",IF(Entradas_B!L44="Sim",-Itens_B!$C44,Itens_B!$C44),IF(Itens_B!$D44="evidencia",IF(Entradas_B!L44="Sim",-Itens_B!$C44,0),0))))</f>
        <v/>
      </c>
      <c r="L46">
        <f>IF(Entradas_B!M44="N/A",0,IF(Itens_B!$D44="risco",IF(Entradas_B!M44=Itens_B!$E44,Itens_B!$C44,0),IF(Itens_B!$D44="mitigacao",IF(Entradas_B!M44="Sim",-Itens_B!$C44,Itens_B!$C44),IF(Itens_B!$D44="evidencia",IF(Entradas_B!M44="Sim",-Itens_B!$C44,0),0))))</f>
        <v/>
      </c>
      <c r="M46">
        <f>IF(Entradas_B!N44="N/A",0,IF(Itens_B!$D44="risco",IF(Entradas_B!N44=Itens_B!$E44,Itens_B!$C44,0),IF(Itens_B!$D44="mitigacao",IF(Entradas_B!N44="Sim",-Itens_B!$C44,Itens_B!$C44),IF(Itens_B!$D44="evidencia",IF(Entradas_B!N44="Sim",-Itens_B!$C44,0),0))))</f>
        <v/>
      </c>
      <c r="N46">
        <f>IF(Entradas_B!O44="N/A",0,IF(Itens_B!$D44="risco",IF(Entradas_B!O44=Itens_B!$E44,Itens_B!$C44,0),IF(Itens_B!$D44="mitigacao",IF(Entradas_B!O44="Sim",-Itens_B!$C44,Itens_B!$C44),IF(Itens_B!$D44="evidencia",IF(Entradas_B!O44="Sim",-Itens_B!$C44,0),0))))</f>
        <v/>
      </c>
      <c r="O46">
        <f>IF(Entradas_B!P44="N/A",0,IF(Itens_B!$D44="risco",IF(Entradas_B!P44=Itens_B!$E44,Itens_B!$C44,0),IF(Itens_B!$D44="mitigacao",IF(Entradas_B!P44="Sim",-Itens_B!$C44,Itens_B!$C44),IF(Itens_B!$D44="evidencia",IF(Entradas_B!P44="Sim",-Itens_B!$C44,0),0))))</f>
        <v/>
      </c>
      <c r="P46">
        <f>IF(Entradas_B!Q44="N/A",0,IF(Itens_B!$D44="risco",IF(Entradas_B!Q44=Itens_B!$E44,Itens_B!$C44,0),IF(Itens_B!$D44="mitigacao",IF(Entradas_B!Q44="Sim",-Itens_B!$C44,Itens_B!$C44),IF(Itens_B!$D44="evidencia",IF(Entradas_B!Q44="Sim",-Itens_B!$C44,0),0))))</f>
        <v/>
      </c>
      <c r="Q46">
        <f>IF(Entradas_B!R44="N/A",0,IF(Itens_B!$D44="risco",IF(Entradas_B!R44=Itens_B!$E44,Itens_B!$C44,0),IF(Itens_B!$D44="mitigacao",IF(Entradas_B!R44="Sim",-Itens_B!$C44,Itens_B!$C44),IF(Itens_B!$D44="evidencia",IF(Entradas_B!R44="Sim",-Itens_B!$C44,0),0))))</f>
        <v/>
      </c>
      <c r="R46">
        <f>IF(Entradas_B!S44="N/A",0,IF(Itens_B!$D44="risco",IF(Entradas_B!S44=Itens_B!$E44,Itens_B!$C44,0),IF(Itens_B!$D44="mitigacao",IF(Entradas_B!S44="Sim",-Itens_B!$C44,Itens_B!$C44),IF(Itens_B!$D44="evidencia",IF(Entradas_B!S44="Sim",-Itens_B!$C44,0),0))))</f>
        <v/>
      </c>
      <c r="S46">
        <f>IF(Entradas_B!T44="N/A",0,IF(Itens_B!$D44="risco",IF(Entradas_B!T44=Itens_B!$E44,Itens_B!$C44,0),IF(Itens_B!$D44="mitigacao",IF(Entradas_B!T44="Sim",-Itens_B!$C44,Itens_B!$C44),IF(Itens_B!$D44="evidencia",IF(Entradas_B!T44="Sim",-Itens_B!$C44,0),0))))</f>
        <v/>
      </c>
      <c r="T46">
        <f>IF(Entradas_B!U44="N/A",0,IF(Itens_B!$D44="risco",IF(Entradas_B!U44=Itens_B!$E44,Itens_B!$C44,0),IF(Itens_B!$D44="mitigacao",IF(Entradas_B!U44="Sim",-Itens_B!$C44,Itens_B!$C44),IF(Itens_B!$D44="evidencia",IF(Entradas_B!U44="Sim",-Itens_B!$C44,0),0))))</f>
        <v/>
      </c>
      <c r="U46">
        <f>IF(Entradas_B!V44="N/A",0,IF(Itens_B!$D44="risco",IF(Entradas_B!V44=Itens_B!$E44,Itens_B!$C44,0),IF(Itens_B!$D44="mitigacao",IF(Entradas_B!V44="Sim",-Itens_B!$C44,Itens_B!$C44),IF(Itens_B!$D44="evidencia",IF(Entradas_B!V44="Sim",-Itens_B!$C44,0),0))))</f>
        <v/>
      </c>
      <c r="V46">
        <f>IF(Entradas_B!W44="N/A",0,IF(Itens_B!$D44="risco",IF(Entradas_B!W44=Itens_B!$E44,Itens_B!$C44,0),IF(Itens_B!$D44="mitigacao",IF(Entradas_B!W44="Sim",-Itens_B!$C44,Itens_B!$C44),IF(Itens_B!$D44="evidencia",IF(Entradas_B!W44="Sim",-Itens_B!$C44,0),0))))</f>
        <v/>
      </c>
      <c r="W46">
        <f>IF(Entradas_B!X44="N/A",0,IF(Itens_B!$D44="risco",IF(Entradas_B!X44=Itens_B!$E44,Itens_B!$C44,0),IF(Itens_B!$D44="mitigacao",IF(Entradas_B!X44="Sim",-Itens_B!$C44,Itens_B!$C44),IF(Itens_B!$D44="evidencia",IF(Entradas_B!X44="Sim",-Itens_B!$C44,0),0))))</f>
        <v/>
      </c>
      <c r="X46">
        <f>IF(Entradas_B!Y44="N/A",0,IF(Itens_B!$D44="risco",IF(Entradas_B!Y44=Itens_B!$E44,Itens_B!$C44,0),IF(Itens_B!$D44="mitigacao",IF(Entradas_B!Y44="Sim",-Itens_B!$C44,Itens_B!$C44),IF(Itens_B!$D44="evidencia",IF(Entradas_B!Y44="Sim",-Itens_B!$C44,0),0))))</f>
        <v/>
      </c>
      <c r="Y46">
        <f>IF(Entradas_B!Z44="N/A",0,IF(Itens_B!$D44="risco",IF(Entradas_B!Z44=Itens_B!$E44,Itens_B!$C44,0),IF(Itens_B!$D44="mitigacao",IF(Entradas_B!Z44="Sim",-Itens_B!$C44,Itens_B!$C44),IF(Itens_B!$D44="evidencia",IF(Entradas_B!Z44="Sim",-Itens_B!$C44,0),0))))</f>
        <v/>
      </c>
      <c r="Z46">
        <f>IF(Entradas_B!AA44="N/A",0,IF(Itens_B!$D44="risco",IF(Entradas_B!AA44=Itens_B!$E44,Itens_B!$C44,0),IF(Itens_B!$D44="mitigacao",IF(Entradas_B!AA44="Sim",-Itens_B!$C44,Itens_B!$C44),IF(Itens_B!$D44="evidencia",IF(Entradas_B!AA44="Sim",-Itens_B!$C44,0),0))))</f>
        <v/>
      </c>
      <c r="AA46">
        <f>IF(Entradas_B!AB44="N/A",0,IF(Itens_B!$D44="risco",IF(Entradas_B!AB44=Itens_B!$E44,Itens_B!$C44,0),IF(Itens_B!$D44="mitigacao",IF(Entradas_B!AB44="Sim",-Itens_B!$C44,Itens_B!$C44),IF(Itens_B!$D44="evidencia",IF(Entradas_B!AB44="Sim",-Itens_B!$C44,0),0))))</f>
        <v/>
      </c>
      <c r="AB46">
        <f>IF(Entradas_B!AC44="N/A",0,IF(Itens_B!$D44="risco",IF(Entradas_B!AC44=Itens_B!$E44,Itens_B!$C44,0),IF(Itens_B!$D44="mitigacao",IF(Entradas_B!AC44="Sim",-Itens_B!$C44,Itens_B!$C44),IF(Itens_B!$D44="evidencia",IF(Entradas_B!AC44="Sim",-Itens_B!$C44,0),0))))</f>
        <v/>
      </c>
      <c r="AC46">
        <f>IF(Entradas_B!AD44="N/A",0,IF(Itens_B!$D44="risco",IF(Entradas_B!AD44=Itens_B!$E44,Itens_B!$C44,0),IF(Itens_B!$D44="mitigacao",IF(Entradas_B!AD44="Sim",-Itens_B!$C44,Itens_B!$C44),IF(Itens_B!$D44="evidencia",IF(Entradas_B!AD44="Sim",-Itens_B!$C44,0),0))))</f>
        <v/>
      </c>
      <c r="AD46">
        <f>IF(Entradas_B!AE44="N/A",0,IF(Itens_B!$D44="risco",IF(Entradas_B!AE44=Itens_B!$E44,Itens_B!$C44,0),IF(Itens_B!$D44="mitigacao",IF(Entradas_B!AE44="Sim",-Itens_B!$C44,Itens_B!$C44),IF(Itens_B!$D44="evidencia",IF(Entradas_B!AE44="Sim",-Itens_B!$C44,0),0))))</f>
        <v/>
      </c>
      <c r="AE46">
        <f>IF(Entradas_B!AF44="N/A",0,IF(Itens_B!$D44="risco",IF(Entradas_B!AF44=Itens_B!$E44,Itens_B!$C44,0),IF(Itens_B!$D44="mitigacao",IF(Entradas_B!AF44="Sim",-Itens_B!$C44,Itens_B!$C44),IF(Itens_B!$D44="evidencia",IF(Entradas_B!AF44="Sim",-Itens_B!$C44,0),0))))</f>
        <v/>
      </c>
      <c r="AF46">
        <f>IF(Entradas_B!AG44="N/A",0,IF(Itens_B!$D44="risco",IF(Entradas_B!AG44=Itens_B!$E44,Itens_B!$C44,0),IF(Itens_B!$D44="mitigacao",IF(Entradas_B!AG44="Sim",-Itens_B!$C44,Itens_B!$C44),IF(Itens_B!$D44="evidencia",IF(Entradas_B!AG44="Sim",-Itens_B!$C44,0),0))))</f>
        <v/>
      </c>
    </row>
    <row r="47">
      <c r="A47" t="inlineStr">
        <is>
          <t>P6.8</t>
        </is>
      </c>
      <c r="B47">
        <f>IF(Entradas_B!C45="N/A",0,IF(Itens_B!$D45="risco",IF(Entradas_B!C45=Itens_B!$E45,Itens_B!$C45,0),IF(Itens_B!$D45="mitigacao",IF(Entradas_B!C45="Sim",-Itens_B!$C45,Itens_B!$C45),IF(Itens_B!$D45="evidencia",IF(Entradas_B!C45="Sim",-Itens_B!$C45,0),0))))</f>
        <v/>
      </c>
      <c r="C47">
        <f>IF(Entradas_B!D45="N/A",0,IF(Itens_B!$D45="risco",IF(Entradas_B!D45=Itens_B!$E45,Itens_B!$C45,0),IF(Itens_B!$D45="mitigacao",IF(Entradas_B!D45="Sim",-Itens_B!$C45,Itens_B!$C45),IF(Itens_B!$D45="evidencia",IF(Entradas_B!D45="Sim",-Itens_B!$C45,0),0))))</f>
        <v/>
      </c>
      <c r="D47">
        <f>IF(Entradas_B!E45="N/A",0,IF(Itens_B!$D45="risco",IF(Entradas_B!E45=Itens_B!$E45,Itens_B!$C45,0),IF(Itens_B!$D45="mitigacao",IF(Entradas_B!E45="Sim",-Itens_B!$C45,Itens_B!$C45),IF(Itens_B!$D45="evidencia",IF(Entradas_B!E45="Sim",-Itens_B!$C45,0),0))))</f>
        <v/>
      </c>
      <c r="E47">
        <f>IF(Entradas_B!F45="N/A",0,IF(Itens_B!$D45="risco",IF(Entradas_B!F45=Itens_B!$E45,Itens_B!$C45,0),IF(Itens_B!$D45="mitigacao",IF(Entradas_B!F45="Sim",-Itens_B!$C45,Itens_B!$C45),IF(Itens_B!$D45="evidencia",IF(Entradas_B!F45="Sim",-Itens_B!$C45,0),0))))</f>
        <v/>
      </c>
      <c r="F47">
        <f>IF(Entradas_B!G45="N/A",0,IF(Itens_B!$D45="risco",IF(Entradas_B!G45=Itens_B!$E45,Itens_B!$C45,0),IF(Itens_B!$D45="mitigacao",IF(Entradas_B!G45="Sim",-Itens_B!$C45,Itens_B!$C45),IF(Itens_B!$D45="evidencia",IF(Entradas_B!G45="Sim",-Itens_B!$C45,0),0))))</f>
        <v/>
      </c>
      <c r="G47">
        <f>IF(Entradas_B!H45="N/A",0,IF(Itens_B!$D45="risco",IF(Entradas_B!H45=Itens_B!$E45,Itens_B!$C45,0),IF(Itens_B!$D45="mitigacao",IF(Entradas_B!H45="Sim",-Itens_B!$C45,Itens_B!$C45),IF(Itens_B!$D45="evidencia",IF(Entradas_B!H45="Sim",-Itens_B!$C45,0),0))))</f>
        <v/>
      </c>
      <c r="H47">
        <f>IF(Entradas_B!I45="N/A",0,IF(Itens_B!$D45="risco",IF(Entradas_B!I45=Itens_B!$E45,Itens_B!$C45,0),IF(Itens_B!$D45="mitigacao",IF(Entradas_B!I45="Sim",-Itens_B!$C45,Itens_B!$C45),IF(Itens_B!$D45="evidencia",IF(Entradas_B!I45="Sim",-Itens_B!$C45,0),0))))</f>
        <v/>
      </c>
      <c r="I47">
        <f>IF(Entradas_B!J45="N/A",0,IF(Itens_B!$D45="risco",IF(Entradas_B!J45=Itens_B!$E45,Itens_B!$C45,0),IF(Itens_B!$D45="mitigacao",IF(Entradas_B!J45="Sim",-Itens_B!$C45,Itens_B!$C45),IF(Itens_B!$D45="evidencia",IF(Entradas_B!J45="Sim",-Itens_B!$C45,0),0))))</f>
        <v/>
      </c>
      <c r="J47">
        <f>IF(Entradas_B!K45="N/A",0,IF(Itens_B!$D45="risco",IF(Entradas_B!K45=Itens_B!$E45,Itens_B!$C45,0),IF(Itens_B!$D45="mitigacao",IF(Entradas_B!K45="Sim",-Itens_B!$C45,Itens_B!$C45),IF(Itens_B!$D45="evidencia",IF(Entradas_B!K45="Sim",-Itens_B!$C45,0),0))))</f>
        <v/>
      </c>
      <c r="K47">
        <f>IF(Entradas_B!L45="N/A",0,IF(Itens_B!$D45="risco",IF(Entradas_B!L45=Itens_B!$E45,Itens_B!$C45,0),IF(Itens_B!$D45="mitigacao",IF(Entradas_B!L45="Sim",-Itens_B!$C45,Itens_B!$C45),IF(Itens_B!$D45="evidencia",IF(Entradas_B!L45="Sim",-Itens_B!$C45,0),0))))</f>
        <v/>
      </c>
      <c r="L47">
        <f>IF(Entradas_B!M45="N/A",0,IF(Itens_B!$D45="risco",IF(Entradas_B!M45=Itens_B!$E45,Itens_B!$C45,0),IF(Itens_B!$D45="mitigacao",IF(Entradas_B!M45="Sim",-Itens_B!$C45,Itens_B!$C45),IF(Itens_B!$D45="evidencia",IF(Entradas_B!M45="Sim",-Itens_B!$C45,0),0))))</f>
        <v/>
      </c>
      <c r="M47">
        <f>IF(Entradas_B!N45="N/A",0,IF(Itens_B!$D45="risco",IF(Entradas_B!N45=Itens_B!$E45,Itens_B!$C45,0),IF(Itens_B!$D45="mitigacao",IF(Entradas_B!N45="Sim",-Itens_B!$C45,Itens_B!$C45),IF(Itens_B!$D45="evidencia",IF(Entradas_B!N45="Sim",-Itens_B!$C45,0),0))))</f>
        <v/>
      </c>
      <c r="N47">
        <f>IF(Entradas_B!O45="N/A",0,IF(Itens_B!$D45="risco",IF(Entradas_B!O45=Itens_B!$E45,Itens_B!$C45,0),IF(Itens_B!$D45="mitigacao",IF(Entradas_B!O45="Sim",-Itens_B!$C45,Itens_B!$C45),IF(Itens_B!$D45="evidencia",IF(Entradas_B!O45="Sim",-Itens_B!$C45,0),0))))</f>
        <v/>
      </c>
      <c r="O47">
        <f>IF(Entradas_B!P45="N/A",0,IF(Itens_B!$D45="risco",IF(Entradas_B!P45=Itens_B!$E45,Itens_B!$C45,0),IF(Itens_B!$D45="mitigacao",IF(Entradas_B!P45="Sim",-Itens_B!$C45,Itens_B!$C45),IF(Itens_B!$D45="evidencia",IF(Entradas_B!P45="Sim",-Itens_B!$C45,0),0))))</f>
        <v/>
      </c>
      <c r="P47">
        <f>IF(Entradas_B!Q45="N/A",0,IF(Itens_B!$D45="risco",IF(Entradas_B!Q45=Itens_B!$E45,Itens_B!$C45,0),IF(Itens_B!$D45="mitigacao",IF(Entradas_B!Q45="Sim",-Itens_B!$C45,Itens_B!$C45),IF(Itens_B!$D45="evidencia",IF(Entradas_B!Q45="Sim",-Itens_B!$C45,0),0))))</f>
        <v/>
      </c>
      <c r="Q47">
        <f>IF(Entradas_B!R45="N/A",0,IF(Itens_B!$D45="risco",IF(Entradas_B!R45=Itens_B!$E45,Itens_B!$C45,0),IF(Itens_B!$D45="mitigacao",IF(Entradas_B!R45="Sim",-Itens_B!$C45,Itens_B!$C45),IF(Itens_B!$D45="evidencia",IF(Entradas_B!R45="Sim",-Itens_B!$C45,0),0))))</f>
        <v/>
      </c>
      <c r="R47">
        <f>IF(Entradas_B!S45="N/A",0,IF(Itens_B!$D45="risco",IF(Entradas_B!S45=Itens_B!$E45,Itens_B!$C45,0),IF(Itens_B!$D45="mitigacao",IF(Entradas_B!S45="Sim",-Itens_B!$C45,Itens_B!$C45),IF(Itens_B!$D45="evidencia",IF(Entradas_B!S45="Sim",-Itens_B!$C45,0),0))))</f>
        <v/>
      </c>
      <c r="S47">
        <f>IF(Entradas_B!T45="N/A",0,IF(Itens_B!$D45="risco",IF(Entradas_B!T45=Itens_B!$E45,Itens_B!$C45,0),IF(Itens_B!$D45="mitigacao",IF(Entradas_B!T45="Sim",-Itens_B!$C45,Itens_B!$C45),IF(Itens_B!$D45="evidencia",IF(Entradas_B!T45="Sim",-Itens_B!$C45,0),0))))</f>
        <v/>
      </c>
      <c r="T47">
        <f>IF(Entradas_B!U45="N/A",0,IF(Itens_B!$D45="risco",IF(Entradas_B!U45=Itens_B!$E45,Itens_B!$C45,0),IF(Itens_B!$D45="mitigacao",IF(Entradas_B!U45="Sim",-Itens_B!$C45,Itens_B!$C45),IF(Itens_B!$D45="evidencia",IF(Entradas_B!U45="Sim",-Itens_B!$C45,0),0))))</f>
        <v/>
      </c>
      <c r="U47">
        <f>IF(Entradas_B!V45="N/A",0,IF(Itens_B!$D45="risco",IF(Entradas_B!V45=Itens_B!$E45,Itens_B!$C45,0),IF(Itens_B!$D45="mitigacao",IF(Entradas_B!V45="Sim",-Itens_B!$C45,Itens_B!$C45),IF(Itens_B!$D45="evidencia",IF(Entradas_B!V45="Sim",-Itens_B!$C45,0),0))))</f>
        <v/>
      </c>
      <c r="V47">
        <f>IF(Entradas_B!W45="N/A",0,IF(Itens_B!$D45="risco",IF(Entradas_B!W45=Itens_B!$E45,Itens_B!$C45,0),IF(Itens_B!$D45="mitigacao",IF(Entradas_B!W45="Sim",-Itens_B!$C45,Itens_B!$C45),IF(Itens_B!$D45="evidencia",IF(Entradas_B!W45="Sim",-Itens_B!$C45,0),0))))</f>
        <v/>
      </c>
      <c r="W47">
        <f>IF(Entradas_B!X45="N/A",0,IF(Itens_B!$D45="risco",IF(Entradas_B!X45=Itens_B!$E45,Itens_B!$C45,0),IF(Itens_B!$D45="mitigacao",IF(Entradas_B!X45="Sim",-Itens_B!$C45,Itens_B!$C45),IF(Itens_B!$D45="evidencia",IF(Entradas_B!X45="Sim",-Itens_B!$C45,0),0))))</f>
        <v/>
      </c>
      <c r="X47">
        <f>IF(Entradas_B!Y45="N/A",0,IF(Itens_B!$D45="risco",IF(Entradas_B!Y45=Itens_B!$E45,Itens_B!$C45,0),IF(Itens_B!$D45="mitigacao",IF(Entradas_B!Y45="Sim",-Itens_B!$C45,Itens_B!$C45),IF(Itens_B!$D45="evidencia",IF(Entradas_B!Y45="Sim",-Itens_B!$C45,0),0))))</f>
        <v/>
      </c>
      <c r="Y47">
        <f>IF(Entradas_B!Z45="N/A",0,IF(Itens_B!$D45="risco",IF(Entradas_B!Z45=Itens_B!$E45,Itens_B!$C45,0),IF(Itens_B!$D45="mitigacao",IF(Entradas_B!Z45="Sim",-Itens_B!$C45,Itens_B!$C45),IF(Itens_B!$D45="evidencia",IF(Entradas_B!Z45="Sim",-Itens_B!$C45,0),0))))</f>
        <v/>
      </c>
      <c r="Z47">
        <f>IF(Entradas_B!AA45="N/A",0,IF(Itens_B!$D45="risco",IF(Entradas_B!AA45=Itens_B!$E45,Itens_B!$C45,0),IF(Itens_B!$D45="mitigacao",IF(Entradas_B!AA45="Sim",-Itens_B!$C45,Itens_B!$C45),IF(Itens_B!$D45="evidencia",IF(Entradas_B!AA45="Sim",-Itens_B!$C45,0),0))))</f>
        <v/>
      </c>
      <c r="AA47">
        <f>IF(Entradas_B!AB45="N/A",0,IF(Itens_B!$D45="risco",IF(Entradas_B!AB45=Itens_B!$E45,Itens_B!$C45,0),IF(Itens_B!$D45="mitigacao",IF(Entradas_B!AB45="Sim",-Itens_B!$C45,Itens_B!$C45),IF(Itens_B!$D45="evidencia",IF(Entradas_B!AB45="Sim",-Itens_B!$C45,0),0))))</f>
        <v/>
      </c>
      <c r="AB47">
        <f>IF(Entradas_B!AC45="N/A",0,IF(Itens_B!$D45="risco",IF(Entradas_B!AC45=Itens_B!$E45,Itens_B!$C45,0),IF(Itens_B!$D45="mitigacao",IF(Entradas_B!AC45="Sim",-Itens_B!$C45,Itens_B!$C45),IF(Itens_B!$D45="evidencia",IF(Entradas_B!AC45="Sim",-Itens_B!$C45,0),0))))</f>
        <v/>
      </c>
      <c r="AC47">
        <f>IF(Entradas_B!AD45="N/A",0,IF(Itens_B!$D45="risco",IF(Entradas_B!AD45=Itens_B!$E45,Itens_B!$C45,0),IF(Itens_B!$D45="mitigacao",IF(Entradas_B!AD45="Sim",-Itens_B!$C45,Itens_B!$C45),IF(Itens_B!$D45="evidencia",IF(Entradas_B!AD45="Sim",-Itens_B!$C45,0),0))))</f>
        <v/>
      </c>
      <c r="AD47">
        <f>IF(Entradas_B!AE45="N/A",0,IF(Itens_B!$D45="risco",IF(Entradas_B!AE45=Itens_B!$E45,Itens_B!$C45,0),IF(Itens_B!$D45="mitigacao",IF(Entradas_B!AE45="Sim",-Itens_B!$C45,Itens_B!$C45),IF(Itens_B!$D45="evidencia",IF(Entradas_B!AE45="Sim",-Itens_B!$C45,0),0))))</f>
        <v/>
      </c>
      <c r="AE47">
        <f>IF(Entradas_B!AF45="N/A",0,IF(Itens_B!$D45="risco",IF(Entradas_B!AF45=Itens_B!$E45,Itens_B!$C45,0),IF(Itens_B!$D45="mitigacao",IF(Entradas_B!AF45="Sim",-Itens_B!$C45,Itens_B!$C45),IF(Itens_B!$D45="evidencia",IF(Entradas_B!AF45="Sim",-Itens_B!$C45,0),0))))</f>
        <v/>
      </c>
      <c r="AF47">
        <f>IF(Entradas_B!AG45="N/A",0,IF(Itens_B!$D45="risco",IF(Entradas_B!AG45=Itens_B!$E45,Itens_B!$C45,0),IF(Itens_B!$D45="mitigacao",IF(Entradas_B!AG45="Sim",-Itens_B!$C45,Itens_B!$C45),IF(Itens_B!$D45="evidencia",IF(Entradas_B!AG45="Sim",-Itens_B!$C45,0),0))))</f>
        <v/>
      </c>
    </row>
    <row r="48">
      <c r="A48" t="inlineStr">
        <is>
          <t>P6.9</t>
        </is>
      </c>
      <c r="B48">
        <f>IF(Entradas_B!C46="N/A",0,IF(Itens_B!$D46="risco",IF(Entradas_B!C46=Itens_B!$E46,Itens_B!$C46,0),IF(Itens_B!$D46="mitigacao",IF(Entradas_B!C46="Sim",-Itens_B!$C46,Itens_B!$C46),IF(Itens_B!$D46="evidencia",IF(Entradas_B!C46="Sim",-Itens_B!$C46,0),0))))</f>
        <v/>
      </c>
      <c r="C48">
        <f>IF(Entradas_B!D46="N/A",0,IF(Itens_B!$D46="risco",IF(Entradas_B!D46=Itens_B!$E46,Itens_B!$C46,0),IF(Itens_B!$D46="mitigacao",IF(Entradas_B!D46="Sim",-Itens_B!$C46,Itens_B!$C46),IF(Itens_B!$D46="evidencia",IF(Entradas_B!D46="Sim",-Itens_B!$C46,0),0))))</f>
        <v/>
      </c>
      <c r="D48">
        <f>IF(Entradas_B!E46="N/A",0,IF(Itens_B!$D46="risco",IF(Entradas_B!E46=Itens_B!$E46,Itens_B!$C46,0),IF(Itens_B!$D46="mitigacao",IF(Entradas_B!E46="Sim",-Itens_B!$C46,Itens_B!$C46),IF(Itens_B!$D46="evidencia",IF(Entradas_B!E46="Sim",-Itens_B!$C46,0),0))))</f>
        <v/>
      </c>
      <c r="E48">
        <f>IF(Entradas_B!F46="N/A",0,IF(Itens_B!$D46="risco",IF(Entradas_B!F46=Itens_B!$E46,Itens_B!$C46,0),IF(Itens_B!$D46="mitigacao",IF(Entradas_B!F46="Sim",-Itens_B!$C46,Itens_B!$C46),IF(Itens_B!$D46="evidencia",IF(Entradas_B!F46="Sim",-Itens_B!$C46,0),0))))</f>
        <v/>
      </c>
      <c r="F48">
        <f>IF(Entradas_B!G46="N/A",0,IF(Itens_B!$D46="risco",IF(Entradas_B!G46=Itens_B!$E46,Itens_B!$C46,0),IF(Itens_B!$D46="mitigacao",IF(Entradas_B!G46="Sim",-Itens_B!$C46,Itens_B!$C46),IF(Itens_B!$D46="evidencia",IF(Entradas_B!G46="Sim",-Itens_B!$C46,0),0))))</f>
        <v/>
      </c>
      <c r="G48">
        <f>IF(Entradas_B!H46="N/A",0,IF(Itens_B!$D46="risco",IF(Entradas_B!H46=Itens_B!$E46,Itens_B!$C46,0),IF(Itens_B!$D46="mitigacao",IF(Entradas_B!H46="Sim",-Itens_B!$C46,Itens_B!$C46),IF(Itens_B!$D46="evidencia",IF(Entradas_B!H46="Sim",-Itens_B!$C46,0),0))))</f>
        <v/>
      </c>
      <c r="H48">
        <f>IF(Entradas_B!I46="N/A",0,IF(Itens_B!$D46="risco",IF(Entradas_B!I46=Itens_B!$E46,Itens_B!$C46,0),IF(Itens_B!$D46="mitigacao",IF(Entradas_B!I46="Sim",-Itens_B!$C46,Itens_B!$C46),IF(Itens_B!$D46="evidencia",IF(Entradas_B!I46="Sim",-Itens_B!$C46,0),0))))</f>
        <v/>
      </c>
      <c r="I48">
        <f>IF(Entradas_B!J46="N/A",0,IF(Itens_B!$D46="risco",IF(Entradas_B!J46=Itens_B!$E46,Itens_B!$C46,0),IF(Itens_B!$D46="mitigacao",IF(Entradas_B!J46="Sim",-Itens_B!$C46,Itens_B!$C46),IF(Itens_B!$D46="evidencia",IF(Entradas_B!J46="Sim",-Itens_B!$C46,0),0))))</f>
        <v/>
      </c>
      <c r="J48">
        <f>IF(Entradas_B!K46="N/A",0,IF(Itens_B!$D46="risco",IF(Entradas_B!K46=Itens_B!$E46,Itens_B!$C46,0),IF(Itens_B!$D46="mitigacao",IF(Entradas_B!K46="Sim",-Itens_B!$C46,Itens_B!$C46),IF(Itens_B!$D46="evidencia",IF(Entradas_B!K46="Sim",-Itens_B!$C46,0),0))))</f>
        <v/>
      </c>
      <c r="K48">
        <f>IF(Entradas_B!L46="N/A",0,IF(Itens_B!$D46="risco",IF(Entradas_B!L46=Itens_B!$E46,Itens_B!$C46,0),IF(Itens_B!$D46="mitigacao",IF(Entradas_B!L46="Sim",-Itens_B!$C46,Itens_B!$C46),IF(Itens_B!$D46="evidencia",IF(Entradas_B!L46="Sim",-Itens_B!$C46,0),0))))</f>
        <v/>
      </c>
      <c r="L48">
        <f>IF(Entradas_B!M46="N/A",0,IF(Itens_B!$D46="risco",IF(Entradas_B!M46=Itens_B!$E46,Itens_B!$C46,0),IF(Itens_B!$D46="mitigacao",IF(Entradas_B!M46="Sim",-Itens_B!$C46,Itens_B!$C46),IF(Itens_B!$D46="evidencia",IF(Entradas_B!M46="Sim",-Itens_B!$C46,0),0))))</f>
        <v/>
      </c>
      <c r="M48">
        <f>IF(Entradas_B!N46="N/A",0,IF(Itens_B!$D46="risco",IF(Entradas_B!N46=Itens_B!$E46,Itens_B!$C46,0),IF(Itens_B!$D46="mitigacao",IF(Entradas_B!N46="Sim",-Itens_B!$C46,Itens_B!$C46),IF(Itens_B!$D46="evidencia",IF(Entradas_B!N46="Sim",-Itens_B!$C46,0),0))))</f>
        <v/>
      </c>
      <c r="N48">
        <f>IF(Entradas_B!O46="N/A",0,IF(Itens_B!$D46="risco",IF(Entradas_B!O46=Itens_B!$E46,Itens_B!$C46,0),IF(Itens_B!$D46="mitigacao",IF(Entradas_B!O46="Sim",-Itens_B!$C46,Itens_B!$C46),IF(Itens_B!$D46="evidencia",IF(Entradas_B!O46="Sim",-Itens_B!$C46,0),0))))</f>
        <v/>
      </c>
      <c r="O48">
        <f>IF(Entradas_B!P46="N/A",0,IF(Itens_B!$D46="risco",IF(Entradas_B!P46=Itens_B!$E46,Itens_B!$C46,0),IF(Itens_B!$D46="mitigacao",IF(Entradas_B!P46="Sim",-Itens_B!$C46,Itens_B!$C46),IF(Itens_B!$D46="evidencia",IF(Entradas_B!P46="Sim",-Itens_B!$C46,0),0))))</f>
        <v/>
      </c>
      <c r="P48">
        <f>IF(Entradas_B!Q46="N/A",0,IF(Itens_B!$D46="risco",IF(Entradas_B!Q46=Itens_B!$E46,Itens_B!$C46,0),IF(Itens_B!$D46="mitigacao",IF(Entradas_B!Q46="Sim",-Itens_B!$C46,Itens_B!$C46),IF(Itens_B!$D46="evidencia",IF(Entradas_B!Q46="Sim",-Itens_B!$C46,0),0))))</f>
        <v/>
      </c>
      <c r="Q48">
        <f>IF(Entradas_B!R46="N/A",0,IF(Itens_B!$D46="risco",IF(Entradas_B!R46=Itens_B!$E46,Itens_B!$C46,0),IF(Itens_B!$D46="mitigacao",IF(Entradas_B!R46="Sim",-Itens_B!$C46,Itens_B!$C46),IF(Itens_B!$D46="evidencia",IF(Entradas_B!R46="Sim",-Itens_B!$C46,0),0))))</f>
        <v/>
      </c>
      <c r="R48">
        <f>IF(Entradas_B!S46="N/A",0,IF(Itens_B!$D46="risco",IF(Entradas_B!S46=Itens_B!$E46,Itens_B!$C46,0),IF(Itens_B!$D46="mitigacao",IF(Entradas_B!S46="Sim",-Itens_B!$C46,Itens_B!$C46),IF(Itens_B!$D46="evidencia",IF(Entradas_B!S46="Sim",-Itens_B!$C46,0),0))))</f>
        <v/>
      </c>
      <c r="S48">
        <f>IF(Entradas_B!T46="N/A",0,IF(Itens_B!$D46="risco",IF(Entradas_B!T46=Itens_B!$E46,Itens_B!$C46,0),IF(Itens_B!$D46="mitigacao",IF(Entradas_B!T46="Sim",-Itens_B!$C46,Itens_B!$C46),IF(Itens_B!$D46="evidencia",IF(Entradas_B!T46="Sim",-Itens_B!$C46,0),0))))</f>
        <v/>
      </c>
      <c r="T48">
        <f>IF(Entradas_B!U46="N/A",0,IF(Itens_B!$D46="risco",IF(Entradas_B!U46=Itens_B!$E46,Itens_B!$C46,0),IF(Itens_B!$D46="mitigacao",IF(Entradas_B!U46="Sim",-Itens_B!$C46,Itens_B!$C46),IF(Itens_B!$D46="evidencia",IF(Entradas_B!U46="Sim",-Itens_B!$C46,0),0))))</f>
        <v/>
      </c>
      <c r="U48">
        <f>IF(Entradas_B!V46="N/A",0,IF(Itens_B!$D46="risco",IF(Entradas_B!V46=Itens_B!$E46,Itens_B!$C46,0),IF(Itens_B!$D46="mitigacao",IF(Entradas_B!V46="Sim",-Itens_B!$C46,Itens_B!$C46),IF(Itens_B!$D46="evidencia",IF(Entradas_B!V46="Sim",-Itens_B!$C46,0),0))))</f>
        <v/>
      </c>
      <c r="V48">
        <f>IF(Entradas_B!W46="N/A",0,IF(Itens_B!$D46="risco",IF(Entradas_B!W46=Itens_B!$E46,Itens_B!$C46,0),IF(Itens_B!$D46="mitigacao",IF(Entradas_B!W46="Sim",-Itens_B!$C46,Itens_B!$C46),IF(Itens_B!$D46="evidencia",IF(Entradas_B!W46="Sim",-Itens_B!$C46,0),0))))</f>
        <v/>
      </c>
      <c r="W48">
        <f>IF(Entradas_B!X46="N/A",0,IF(Itens_B!$D46="risco",IF(Entradas_B!X46=Itens_B!$E46,Itens_B!$C46,0),IF(Itens_B!$D46="mitigacao",IF(Entradas_B!X46="Sim",-Itens_B!$C46,Itens_B!$C46),IF(Itens_B!$D46="evidencia",IF(Entradas_B!X46="Sim",-Itens_B!$C46,0),0))))</f>
        <v/>
      </c>
      <c r="X48">
        <f>IF(Entradas_B!Y46="N/A",0,IF(Itens_B!$D46="risco",IF(Entradas_B!Y46=Itens_B!$E46,Itens_B!$C46,0),IF(Itens_B!$D46="mitigacao",IF(Entradas_B!Y46="Sim",-Itens_B!$C46,Itens_B!$C46),IF(Itens_B!$D46="evidencia",IF(Entradas_B!Y46="Sim",-Itens_B!$C46,0),0))))</f>
        <v/>
      </c>
      <c r="Y48">
        <f>IF(Entradas_B!Z46="N/A",0,IF(Itens_B!$D46="risco",IF(Entradas_B!Z46=Itens_B!$E46,Itens_B!$C46,0),IF(Itens_B!$D46="mitigacao",IF(Entradas_B!Z46="Sim",-Itens_B!$C46,Itens_B!$C46),IF(Itens_B!$D46="evidencia",IF(Entradas_B!Z46="Sim",-Itens_B!$C46,0),0))))</f>
        <v/>
      </c>
      <c r="Z48">
        <f>IF(Entradas_B!AA46="N/A",0,IF(Itens_B!$D46="risco",IF(Entradas_B!AA46=Itens_B!$E46,Itens_B!$C46,0),IF(Itens_B!$D46="mitigacao",IF(Entradas_B!AA46="Sim",-Itens_B!$C46,Itens_B!$C46),IF(Itens_B!$D46="evidencia",IF(Entradas_B!AA46="Sim",-Itens_B!$C46,0),0))))</f>
        <v/>
      </c>
      <c r="AA48">
        <f>IF(Entradas_B!AB46="N/A",0,IF(Itens_B!$D46="risco",IF(Entradas_B!AB46=Itens_B!$E46,Itens_B!$C46,0),IF(Itens_B!$D46="mitigacao",IF(Entradas_B!AB46="Sim",-Itens_B!$C46,Itens_B!$C46),IF(Itens_B!$D46="evidencia",IF(Entradas_B!AB46="Sim",-Itens_B!$C46,0),0))))</f>
        <v/>
      </c>
      <c r="AB48">
        <f>IF(Entradas_B!AC46="N/A",0,IF(Itens_B!$D46="risco",IF(Entradas_B!AC46=Itens_B!$E46,Itens_B!$C46,0),IF(Itens_B!$D46="mitigacao",IF(Entradas_B!AC46="Sim",-Itens_B!$C46,Itens_B!$C46),IF(Itens_B!$D46="evidencia",IF(Entradas_B!AC46="Sim",-Itens_B!$C46,0),0))))</f>
        <v/>
      </c>
      <c r="AC48">
        <f>IF(Entradas_B!AD46="N/A",0,IF(Itens_B!$D46="risco",IF(Entradas_B!AD46=Itens_B!$E46,Itens_B!$C46,0),IF(Itens_B!$D46="mitigacao",IF(Entradas_B!AD46="Sim",-Itens_B!$C46,Itens_B!$C46),IF(Itens_B!$D46="evidencia",IF(Entradas_B!AD46="Sim",-Itens_B!$C46,0),0))))</f>
        <v/>
      </c>
      <c r="AD48">
        <f>IF(Entradas_B!AE46="N/A",0,IF(Itens_B!$D46="risco",IF(Entradas_B!AE46=Itens_B!$E46,Itens_B!$C46,0),IF(Itens_B!$D46="mitigacao",IF(Entradas_B!AE46="Sim",-Itens_B!$C46,Itens_B!$C46),IF(Itens_B!$D46="evidencia",IF(Entradas_B!AE46="Sim",-Itens_B!$C46,0),0))))</f>
        <v/>
      </c>
      <c r="AE48">
        <f>IF(Entradas_B!AF46="N/A",0,IF(Itens_B!$D46="risco",IF(Entradas_B!AF46=Itens_B!$E46,Itens_B!$C46,0),IF(Itens_B!$D46="mitigacao",IF(Entradas_B!AF46="Sim",-Itens_B!$C46,Itens_B!$C46),IF(Itens_B!$D46="evidencia",IF(Entradas_B!AF46="Sim",-Itens_B!$C46,0),0))))</f>
        <v/>
      </c>
      <c r="AF48">
        <f>IF(Entradas_B!AG46="N/A",0,IF(Itens_B!$D46="risco",IF(Entradas_B!AG46=Itens_B!$E46,Itens_B!$C46,0),IF(Itens_B!$D46="mitigacao",IF(Entradas_B!AG46="Sim",-Itens_B!$C46,Itens_B!$C46),IF(Itens_B!$D46="evidencia",IF(Entradas_B!AG46="Sim",-Itens_B!$C46,0),0))))</f>
        <v/>
      </c>
    </row>
    <row r="49">
      <c r="A49" t="inlineStr">
        <is>
          <t>P6.10</t>
        </is>
      </c>
      <c r="B49">
        <f>IF(Entradas_B!C47="N/A",0,IF(Itens_B!$D47="risco",IF(Entradas_B!C47=Itens_B!$E47,Itens_B!$C47,0),IF(Itens_B!$D47="mitigacao",IF(Entradas_B!C47="Sim",-Itens_B!$C47,Itens_B!$C47),IF(Itens_B!$D47="evidencia",IF(Entradas_B!C47="Sim",-Itens_B!$C47,0),0))))</f>
        <v/>
      </c>
      <c r="C49">
        <f>IF(Entradas_B!D47="N/A",0,IF(Itens_B!$D47="risco",IF(Entradas_B!D47=Itens_B!$E47,Itens_B!$C47,0),IF(Itens_B!$D47="mitigacao",IF(Entradas_B!D47="Sim",-Itens_B!$C47,Itens_B!$C47),IF(Itens_B!$D47="evidencia",IF(Entradas_B!D47="Sim",-Itens_B!$C47,0),0))))</f>
        <v/>
      </c>
      <c r="D49">
        <f>IF(Entradas_B!E47="N/A",0,IF(Itens_B!$D47="risco",IF(Entradas_B!E47=Itens_B!$E47,Itens_B!$C47,0),IF(Itens_B!$D47="mitigacao",IF(Entradas_B!E47="Sim",-Itens_B!$C47,Itens_B!$C47),IF(Itens_B!$D47="evidencia",IF(Entradas_B!E47="Sim",-Itens_B!$C47,0),0))))</f>
        <v/>
      </c>
      <c r="E49">
        <f>IF(Entradas_B!F47="N/A",0,IF(Itens_B!$D47="risco",IF(Entradas_B!F47=Itens_B!$E47,Itens_B!$C47,0),IF(Itens_B!$D47="mitigacao",IF(Entradas_B!F47="Sim",-Itens_B!$C47,Itens_B!$C47),IF(Itens_B!$D47="evidencia",IF(Entradas_B!F47="Sim",-Itens_B!$C47,0),0))))</f>
        <v/>
      </c>
      <c r="F49">
        <f>IF(Entradas_B!G47="N/A",0,IF(Itens_B!$D47="risco",IF(Entradas_B!G47=Itens_B!$E47,Itens_B!$C47,0),IF(Itens_B!$D47="mitigacao",IF(Entradas_B!G47="Sim",-Itens_B!$C47,Itens_B!$C47),IF(Itens_B!$D47="evidencia",IF(Entradas_B!G47="Sim",-Itens_B!$C47,0),0))))</f>
        <v/>
      </c>
      <c r="G49">
        <f>IF(Entradas_B!H47="N/A",0,IF(Itens_B!$D47="risco",IF(Entradas_B!H47=Itens_B!$E47,Itens_B!$C47,0),IF(Itens_B!$D47="mitigacao",IF(Entradas_B!H47="Sim",-Itens_B!$C47,Itens_B!$C47),IF(Itens_B!$D47="evidencia",IF(Entradas_B!H47="Sim",-Itens_B!$C47,0),0))))</f>
        <v/>
      </c>
      <c r="H49">
        <f>IF(Entradas_B!I47="N/A",0,IF(Itens_B!$D47="risco",IF(Entradas_B!I47=Itens_B!$E47,Itens_B!$C47,0),IF(Itens_B!$D47="mitigacao",IF(Entradas_B!I47="Sim",-Itens_B!$C47,Itens_B!$C47),IF(Itens_B!$D47="evidencia",IF(Entradas_B!I47="Sim",-Itens_B!$C47,0),0))))</f>
        <v/>
      </c>
      <c r="I49">
        <f>IF(Entradas_B!J47="N/A",0,IF(Itens_B!$D47="risco",IF(Entradas_B!J47=Itens_B!$E47,Itens_B!$C47,0),IF(Itens_B!$D47="mitigacao",IF(Entradas_B!J47="Sim",-Itens_B!$C47,Itens_B!$C47),IF(Itens_B!$D47="evidencia",IF(Entradas_B!J47="Sim",-Itens_B!$C47,0),0))))</f>
        <v/>
      </c>
      <c r="J49">
        <f>IF(Entradas_B!K47="N/A",0,IF(Itens_B!$D47="risco",IF(Entradas_B!K47=Itens_B!$E47,Itens_B!$C47,0),IF(Itens_B!$D47="mitigacao",IF(Entradas_B!K47="Sim",-Itens_B!$C47,Itens_B!$C47),IF(Itens_B!$D47="evidencia",IF(Entradas_B!K47="Sim",-Itens_B!$C47,0),0))))</f>
        <v/>
      </c>
      <c r="K49">
        <f>IF(Entradas_B!L47="N/A",0,IF(Itens_B!$D47="risco",IF(Entradas_B!L47=Itens_B!$E47,Itens_B!$C47,0),IF(Itens_B!$D47="mitigacao",IF(Entradas_B!L47="Sim",-Itens_B!$C47,Itens_B!$C47),IF(Itens_B!$D47="evidencia",IF(Entradas_B!L47="Sim",-Itens_B!$C47,0),0))))</f>
        <v/>
      </c>
      <c r="L49">
        <f>IF(Entradas_B!M47="N/A",0,IF(Itens_B!$D47="risco",IF(Entradas_B!M47=Itens_B!$E47,Itens_B!$C47,0),IF(Itens_B!$D47="mitigacao",IF(Entradas_B!M47="Sim",-Itens_B!$C47,Itens_B!$C47),IF(Itens_B!$D47="evidencia",IF(Entradas_B!M47="Sim",-Itens_B!$C47,0),0))))</f>
        <v/>
      </c>
      <c r="M49">
        <f>IF(Entradas_B!N47="N/A",0,IF(Itens_B!$D47="risco",IF(Entradas_B!N47=Itens_B!$E47,Itens_B!$C47,0),IF(Itens_B!$D47="mitigacao",IF(Entradas_B!N47="Sim",-Itens_B!$C47,Itens_B!$C47),IF(Itens_B!$D47="evidencia",IF(Entradas_B!N47="Sim",-Itens_B!$C47,0),0))))</f>
        <v/>
      </c>
      <c r="N49">
        <f>IF(Entradas_B!O47="N/A",0,IF(Itens_B!$D47="risco",IF(Entradas_B!O47=Itens_B!$E47,Itens_B!$C47,0),IF(Itens_B!$D47="mitigacao",IF(Entradas_B!O47="Sim",-Itens_B!$C47,Itens_B!$C47),IF(Itens_B!$D47="evidencia",IF(Entradas_B!O47="Sim",-Itens_B!$C47,0),0))))</f>
        <v/>
      </c>
      <c r="O49">
        <f>IF(Entradas_B!P47="N/A",0,IF(Itens_B!$D47="risco",IF(Entradas_B!P47=Itens_B!$E47,Itens_B!$C47,0),IF(Itens_B!$D47="mitigacao",IF(Entradas_B!P47="Sim",-Itens_B!$C47,Itens_B!$C47),IF(Itens_B!$D47="evidencia",IF(Entradas_B!P47="Sim",-Itens_B!$C47,0),0))))</f>
        <v/>
      </c>
      <c r="P49">
        <f>IF(Entradas_B!Q47="N/A",0,IF(Itens_B!$D47="risco",IF(Entradas_B!Q47=Itens_B!$E47,Itens_B!$C47,0),IF(Itens_B!$D47="mitigacao",IF(Entradas_B!Q47="Sim",-Itens_B!$C47,Itens_B!$C47),IF(Itens_B!$D47="evidencia",IF(Entradas_B!Q47="Sim",-Itens_B!$C47,0),0))))</f>
        <v/>
      </c>
      <c r="Q49">
        <f>IF(Entradas_B!R47="N/A",0,IF(Itens_B!$D47="risco",IF(Entradas_B!R47=Itens_B!$E47,Itens_B!$C47,0),IF(Itens_B!$D47="mitigacao",IF(Entradas_B!R47="Sim",-Itens_B!$C47,Itens_B!$C47),IF(Itens_B!$D47="evidencia",IF(Entradas_B!R47="Sim",-Itens_B!$C47,0),0))))</f>
        <v/>
      </c>
      <c r="R49">
        <f>IF(Entradas_B!S47="N/A",0,IF(Itens_B!$D47="risco",IF(Entradas_B!S47=Itens_B!$E47,Itens_B!$C47,0),IF(Itens_B!$D47="mitigacao",IF(Entradas_B!S47="Sim",-Itens_B!$C47,Itens_B!$C47),IF(Itens_B!$D47="evidencia",IF(Entradas_B!S47="Sim",-Itens_B!$C47,0),0))))</f>
        <v/>
      </c>
      <c r="S49">
        <f>IF(Entradas_B!T47="N/A",0,IF(Itens_B!$D47="risco",IF(Entradas_B!T47=Itens_B!$E47,Itens_B!$C47,0),IF(Itens_B!$D47="mitigacao",IF(Entradas_B!T47="Sim",-Itens_B!$C47,Itens_B!$C47),IF(Itens_B!$D47="evidencia",IF(Entradas_B!T47="Sim",-Itens_B!$C47,0),0))))</f>
        <v/>
      </c>
      <c r="T49">
        <f>IF(Entradas_B!U47="N/A",0,IF(Itens_B!$D47="risco",IF(Entradas_B!U47=Itens_B!$E47,Itens_B!$C47,0),IF(Itens_B!$D47="mitigacao",IF(Entradas_B!U47="Sim",-Itens_B!$C47,Itens_B!$C47),IF(Itens_B!$D47="evidencia",IF(Entradas_B!U47="Sim",-Itens_B!$C47,0),0))))</f>
        <v/>
      </c>
      <c r="U49">
        <f>IF(Entradas_B!V47="N/A",0,IF(Itens_B!$D47="risco",IF(Entradas_B!V47=Itens_B!$E47,Itens_B!$C47,0),IF(Itens_B!$D47="mitigacao",IF(Entradas_B!V47="Sim",-Itens_B!$C47,Itens_B!$C47),IF(Itens_B!$D47="evidencia",IF(Entradas_B!V47="Sim",-Itens_B!$C47,0),0))))</f>
        <v/>
      </c>
      <c r="V49">
        <f>IF(Entradas_B!W47="N/A",0,IF(Itens_B!$D47="risco",IF(Entradas_B!W47=Itens_B!$E47,Itens_B!$C47,0),IF(Itens_B!$D47="mitigacao",IF(Entradas_B!W47="Sim",-Itens_B!$C47,Itens_B!$C47),IF(Itens_B!$D47="evidencia",IF(Entradas_B!W47="Sim",-Itens_B!$C47,0),0))))</f>
        <v/>
      </c>
      <c r="W49">
        <f>IF(Entradas_B!X47="N/A",0,IF(Itens_B!$D47="risco",IF(Entradas_B!X47=Itens_B!$E47,Itens_B!$C47,0),IF(Itens_B!$D47="mitigacao",IF(Entradas_B!X47="Sim",-Itens_B!$C47,Itens_B!$C47),IF(Itens_B!$D47="evidencia",IF(Entradas_B!X47="Sim",-Itens_B!$C47,0),0))))</f>
        <v/>
      </c>
      <c r="X49">
        <f>IF(Entradas_B!Y47="N/A",0,IF(Itens_B!$D47="risco",IF(Entradas_B!Y47=Itens_B!$E47,Itens_B!$C47,0),IF(Itens_B!$D47="mitigacao",IF(Entradas_B!Y47="Sim",-Itens_B!$C47,Itens_B!$C47),IF(Itens_B!$D47="evidencia",IF(Entradas_B!Y47="Sim",-Itens_B!$C47,0),0))))</f>
        <v/>
      </c>
      <c r="Y49">
        <f>IF(Entradas_B!Z47="N/A",0,IF(Itens_B!$D47="risco",IF(Entradas_B!Z47=Itens_B!$E47,Itens_B!$C47,0),IF(Itens_B!$D47="mitigacao",IF(Entradas_B!Z47="Sim",-Itens_B!$C47,Itens_B!$C47),IF(Itens_B!$D47="evidencia",IF(Entradas_B!Z47="Sim",-Itens_B!$C47,0),0))))</f>
        <v/>
      </c>
      <c r="Z49">
        <f>IF(Entradas_B!AA47="N/A",0,IF(Itens_B!$D47="risco",IF(Entradas_B!AA47=Itens_B!$E47,Itens_B!$C47,0),IF(Itens_B!$D47="mitigacao",IF(Entradas_B!AA47="Sim",-Itens_B!$C47,Itens_B!$C47),IF(Itens_B!$D47="evidencia",IF(Entradas_B!AA47="Sim",-Itens_B!$C47,0),0))))</f>
        <v/>
      </c>
      <c r="AA49">
        <f>IF(Entradas_B!AB47="N/A",0,IF(Itens_B!$D47="risco",IF(Entradas_B!AB47=Itens_B!$E47,Itens_B!$C47,0),IF(Itens_B!$D47="mitigacao",IF(Entradas_B!AB47="Sim",-Itens_B!$C47,Itens_B!$C47),IF(Itens_B!$D47="evidencia",IF(Entradas_B!AB47="Sim",-Itens_B!$C47,0),0))))</f>
        <v/>
      </c>
      <c r="AB49">
        <f>IF(Entradas_B!AC47="N/A",0,IF(Itens_B!$D47="risco",IF(Entradas_B!AC47=Itens_B!$E47,Itens_B!$C47,0),IF(Itens_B!$D47="mitigacao",IF(Entradas_B!AC47="Sim",-Itens_B!$C47,Itens_B!$C47),IF(Itens_B!$D47="evidencia",IF(Entradas_B!AC47="Sim",-Itens_B!$C47,0),0))))</f>
        <v/>
      </c>
      <c r="AC49">
        <f>IF(Entradas_B!AD47="N/A",0,IF(Itens_B!$D47="risco",IF(Entradas_B!AD47=Itens_B!$E47,Itens_B!$C47,0),IF(Itens_B!$D47="mitigacao",IF(Entradas_B!AD47="Sim",-Itens_B!$C47,Itens_B!$C47),IF(Itens_B!$D47="evidencia",IF(Entradas_B!AD47="Sim",-Itens_B!$C47,0),0))))</f>
        <v/>
      </c>
      <c r="AD49">
        <f>IF(Entradas_B!AE47="N/A",0,IF(Itens_B!$D47="risco",IF(Entradas_B!AE47=Itens_B!$E47,Itens_B!$C47,0),IF(Itens_B!$D47="mitigacao",IF(Entradas_B!AE47="Sim",-Itens_B!$C47,Itens_B!$C47),IF(Itens_B!$D47="evidencia",IF(Entradas_B!AE47="Sim",-Itens_B!$C47,0),0))))</f>
        <v/>
      </c>
      <c r="AE49">
        <f>IF(Entradas_B!AF47="N/A",0,IF(Itens_B!$D47="risco",IF(Entradas_B!AF47=Itens_B!$E47,Itens_B!$C47,0),IF(Itens_B!$D47="mitigacao",IF(Entradas_B!AF47="Sim",-Itens_B!$C47,Itens_B!$C47),IF(Itens_B!$D47="evidencia",IF(Entradas_B!AF47="Sim",-Itens_B!$C47,0),0))))</f>
        <v/>
      </c>
      <c r="AF49">
        <f>IF(Entradas_B!AG47="N/A",0,IF(Itens_B!$D47="risco",IF(Entradas_B!AG47=Itens_B!$E47,Itens_B!$C47,0),IF(Itens_B!$D47="mitigacao",IF(Entradas_B!AG47="Sim",-Itens_B!$C47,Itens_B!$C47),IF(Itens_B!$D47="evidencia",IF(Entradas_B!AG47="Sim",-Itens_B!$C47,0),0))))</f>
        <v/>
      </c>
    </row>
    <row r="50">
      <c r="A50" t="inlineStr">
        <is>
          <t>P6.11</t>
        </is>
      </c>
      <c r="B50">
        <f>IF(Entradas_B!C48="N/A",0,IF(Itens_B!$D48="risco",IF(Entradas_B!C48=Itens_B!$E48,Itens_B!$C48,0),IF(Itens_B!$D48="mitigacao",IF(Entradas_B!C48="Sim",-Itens_B!$C48,Itens_B!$C48),IF(Itens_B!$D48="evidencia",IF(Entradas_B!C48="Sim",-Itens_B!$C48,0),0))))</f>
        <v/>
      </c>
      <c r="C50">
        <f>IF(Entradas_B!D48="N/A",0,IF(Itens_B!$D48="risco",IF(Entradas_B!D48=Itens_B!$E48,Itens_B!$C48,0),IF(Itens_B!$D48="mitigacao",IF(Entradas_B!D48="Sim",-Itens_B!$C48,Itens_B!$C48),IF(Itens_B!$D48="evidencia",IF(Entradas_B!D48="Sim",-Itens_B!$C48,0),0))))</f>
        <v/>
      </c>
      <c r="D50">
        <f>IF(Entradas_B!E48="N/A",0,IF(Itens_B!$D48="risco",IF(Entradas_B!E48=Itens_B!$E48,Itens_B!$C48,0),IF(Itens_B!$D48="mitigacao",IF(Entradas_B!E48="Sim",-Itens_B!$C48,Itens_B!$C48),IF(Itens_B!$D48="evidencia",IF(Entradas_B!E48="Sim",-Itens_B!$C48,0),0))))</f>
        <v/>
      </c>
      <c r="E50">
        <f>IF(Entradas_B!F48="N/A",0,IF(Itens_B!$D48="risco",IF(Entradas_B!F48=Itens_B!$E48,Itens_B!$C48,0),IF(Itens_B!$D48="mitigacao",IF(Entradas_B!F48="Sim",-Itens_B!$C48,Itens_B!$C48),IF(Itens_B!$D48="evidencia",IF(Entradas_B!F48="Sim",-Itens_B!$C48,0),0))))</f>
        <v/>
      </c>
      <c r="F50">
        <f>IF(Entradas_B!G48="N/A",0,IF(Itens_B!$D48="risco",IF(Entradas_B!G48=Itens_B!$E48,Itens_B!$C48,0),IF(Itens_B!$D48="mitigacao",IF(Entradas_B!G48="Sim",-Itens_B!$C48,Itens_B!$C48),IF(Itens_B!$D48="evidencia",IF(Entradas_B!G48="Sim",-Itens_B!$C48,0),0))))</f>
        <v/>
      </c>
      <c r="G50">
        <f>IF(Entradas_B!H48="N/A",0,IF(Itens_B!$D48="risco",IF(Entradas_B!H48=Itens_B!$E48,Itens_B!$C48,0),IF(Itens_B!$D48="mitigacao",IF(Entradas_B!H48="Sim",-Itens_B!$C48,Itens_B!$C48),IF(Itens_B!$D48="evidencia",IF(Entradas_B!H48="Sim",-Itens_B!$C48,0),0))))</f>
        <v/>
      </c>
      <c r="H50">
        <f>IF(Entradas_B!I48="N/A",0,IF(Itens_B!$D48="risco",IF(Entradas_B!I48=Itens_B!$E48,Itens_B!$C48,0),IF(Itens_B!$D48="mitigacao",IF(Entradas_B!I48="Sim",-Itens_B!$C48,Itens_B!$C48),IF(Itens_B!$D48="evidencia",IF(Entradas_B!I48="Sim",-Itens_B!$C48,0),0))))</f>
        <v/>
      </c>
      <c r="I50">
        <f>IF(Entradas_B!J48="N/A",0,IF(Itens_B!$D48="risco",IF(Entradas_B!J48=Itens_B!$E48,Itens_B!$C48,0),IF(Itens_B!$D48="mitigacao",IF(Entradas_B!J48="Sim",-Itens_B!$C48,Itens_B!$C48),IF(Itens_B!$D48="evidencia",IF(Entradas_B!J48="Sim",-Itens_B!$C48,0),0))))</f>
        <v/>
      </c>
      <c r="J50">
        <f>IF(Entradas_B!K48="N/A",0,IF(Itens_B!$D48="risco",IF(Entradas_B!K48=Itens_B!$E48,Itens_B!$C48,0),IF(Itens_B!$D48="mitigacao",IF(Entradas_B!K48="Sim",-Itens_B!$C48,Itens_B!$C48),IF(Itens_B!$D48="evidencia",IF(Entradas_B!K48="Sim",-Itens_B!$C48,0),0))))</f>
        <v/>
      </c>
      <c r="K50">
        <f>IF(Entradas_B!L48="N/A",0,IF(Itens_B!$D48="risco",IF(Entradas_B!L48=Itens_B!$E48,Itens_B!$C48,0),IF(Itens_B!$D48="mitigacao",IF(Entradas_B!L48="Sim",-Itens_B!$C48,Itens_B!$C48),IF(Itens_B!$D48="evidencia",IF(Entradas_B!L48="Sim",-Itens_B!$C48,0),0))))</f>
        <v/>
      </c>
      <c r="L50">
        <f>IF(Entradas_B!M48="N/A",0,IF(Itens_B!$D48="risco",IF(Entradas_B!M48=Itens_B!$E48,Itens_B!$C48,0),IF(Itens_B!$D48="mitigacao",IF(Entradas_B!M48="Sim",-Itens_B!$C48,Itens_B!$C48),IF(Itens_B!$D48="evidencia",IF(Entradas_B!M48="Sim",-Itens_B!$C48,0),0))))</f>
        <v/>
      </c>
      <c r="M50">
        <f>IF(Entradas_B!N48="N/A",0,IF(Itens_B!$D48="risco",IF(Entradas_B!N48=Itens_B!$E48,Itens_B!$C48,0),IF(Itens_B!$D48="mitigacao",IF(Entradas_B!N48="Sim",-Itens_B!$C48,Itens_B!$C48),IF(Itens_B!$D48="evidencia",IF(Entradas_B!N48="Sim",-Itens_B!$C48,0),0))))</f>
        <v/>
      </c>
      <c r="N50">
        <f>IF(Entradas_B!O48="N/A",0,IF(Itens_B!$D48="risco",IF(Entradas_B!O48=Itens_B!$E48,Itens_B!$C48,0),IF(Itens_B!$D48="mitigacao",IF(Entradas_B!O48="Sim",-Itens_B!$C48,Itens_B!$C48),IF(Itens_B!$D48="evidencia",IF(Entradas_B!O48="Sim",-Itens_B!$C48,0),0))))</f>
        <v/>
      </c>
      <c r="O50">
        <f>IF(Entradas_B!P48="N/A",0,IF(Itens_B!$D48="risco",IF(Entradas_B!P48=Itens_B!$E48,Itens_B!$C48,0),IF(Itens_B!$D48="mitigacao",IF(Entradas_B!P48="Sim",-Itens_B!$C48,Itens_B!$C48),IF(Itens_B!$D48="evidencia",IF(Entradas_B!P48="Sim",-Itens_B!$C48,0),0))))</f>
        <v/>
      </c>
      <c r="P50">
        <f>IF(Entradas_B!Q48="N/A",0,IF(Itens_B!$D48="risco",IF(Entradas_B!Q48=Itens_B!$E48,Itens_B!$C48,0),IF(Itens_B!$D48="mitigacao",IF(Entradas_B!Q48="Sim",-Itens_B!$C48,Itens_B!$C48),IF(Itens_B!$D48="evidencia",IF(Entradas_B!Q48="Sim",-Itens_B!$C48,0),0))))</f>
        <v/>
      </c>
      <c r="Q50">
        <f>IF(Entradas_B!R48="N/A",0,IF(Itens_B!$D48="risco",IF(Entradas_B!R48=Itens_B!$E48,Itens_B!$C48,0),IF(Itens_B!$D48="mitigacao",IF(Entradas_B!R48="Sim",-Itens_B!$C48,Itens_B!$C48),IF(Itens_B!$D48="evidencia",IF(Entradas_B!R48="Sim",-Itens_B!$C48,0),0))))</f>
        <v/>
      </c>
      <c r="R50">
        <f>IF(Entradas_B!S48="N/A",0,IF(Itens_B!$D48="risco",IF(Entradas_B!S48=Itens_B!$E48,Itens_B!$C48,0),IF(Itens_B!$D48="mitigacao",IF(Entradas_B!S48="Sim",-Itens_B!$C48,Itens_B!$C48),IF(Itens_B!$D48="evidencia",IF(Entradas_B!S48="Sim",-Itens_B!$C48,0),0))))</f>
        <v/>
      </c>
      <c r="S50">
        <f>IF(Entradas_B!T48="N/A",0,IF(Itens_B!$D48="risco",IF(Entradas_B!T48=Itens_B!$E48,Itens_B!$C48,0),IF(Itens_B!$D48="mitigacao",IF(Entradas_B!T48="Sim",-Itens_B!$C48,Itens_B!$C48),IF(Itens_B!$D48="evidencia",IF(Entradas_B!T48="Sim",-Itens_B!$C48,0),0))))</f>
        <v/>
      </c>
      <c r="T50">
        <f>IF(Entradas_B!U48="N/A",0,IF(Itens_B!$D48="risco",IF(Entradas_B!U48=Itens_B!$E48,Itens_B!$C48,0),IF(Itens_B!$D48="mitigacao",IF(Entradas_B!U48="Sim",-Itens_B!$C48,Itens_B!$C48),IF(Itens_B!$D48="evidencia",IF(Entradas_B!U48="Sim",-Itens_B!$C48,0),0))))</f>
        <v/>
      </c>
      <c r="U50">
        <f>IF(Entradas_B!V48="N/A",0,IF(Itens_B!$D48="risco",IF(Entradas_B!V48=Itens_B!$E48,Itens_B!$C48,0),IF(Itens_B!$D48="mitigacao",IF(Entradas_B!V48="Sim",-Itens_B!$C48,Itens_B!$C48),IF(Itens_B!$D48="evidencia",IF(Entradas_B!V48="Sim",-Itens_B!$C48,0),0))))</f>
        <v/>
      </c>
      <c r="V50">
        <f>IF(Entradas_B!W48="N/A",0,IF(Itens_B!$D48="risco",IF(Entradas_B!W48=Itens_B!$E48,Itens_B!$C48,0),IF(Itens_B!$D48="mitigacao",IF(Entradas_B!W48="Sim",-Itens_B!$C48,Itens_B!$C48),IF(Itens_B!$D48="evidencia",IF(Entradas_B!W48="Sim",-Itens_B!$C48,0),0))))</f>
        <v/>
      </c>
      <c r="W50">
        <f>IF(Entradas_B!X48="N/A",0,IF(Itens_B!$D48="risco",IF(Entradas_B!X48=Itens_B!$E48,Itens_B!$C48,0),IF(Itens_B!$D48="mitigacao",IF(Entradas_B!X48="Sim",-Itens_B!$C48,Itens_B!$C48),IF(Itens_B!$D48="evidencia",IF(Entradas_B!X48="Sim",-Itens_B!$C48,0),0))))</f>
        <v/>
      </c>
      <c r="X50">
        <f>IF(Entradas_B!Y48="N/A",0,IF(Itens_B!$D48="risco",IF(Entradas_B!Y48=Itens_B!$E48,Itens_B!$C48,0),IF(Itens_B!$D48="mitigacao",IF(Entradas_B!Y48="Sim",-Itens_B!$C48,Itens_B!$C48),IF(Itens_B!$D48="evidencia",IF(Entradas_B!Y48="Sim",-Itens_B!$C48,0),0))))</f>
        <v/>
      </c>
      <c r="Y50">
        <f>IF(Entradas_B!Z48="N/A",0,IF(Itens_B!$D48="risco",IF(Entradas_B!Z48=Itens_B!$E48,Itens_B!$C48,0),IF(Itens_B!$D48="mitigacao",IF(Entradas_B!Z48="Sim",-Itens_B!$C48,Itens_B!$C48),IF(Itens_B!$D48="evidencia",IF(Entradas_B!Z48="Sim",-Itens_B!$C48,0),0))))</f>
        <v/>
      </c>
      <c r="Z50">
        <f>IF(Entradas_B!AA48="N/A",0,IF(Itens_B!$D48="risco",IF(Entradas_B!AA48=Itens_B!$E48,Itens_B!$C48,0),IF(Itens_B!$D48="mitigacao",IF(Entradas_B!AA48="Sim",-Itens_B!$C48,Itens_B!$C48),IF(Itens_B!$D48="evidencia",IF(Entradas_B!AA48="Sim",-Itens_B!$C48,0),0))))</f>
        <v/>
      </c>
      <c r="AA50">
        <f>IF(Entradas_B!AB48="N/A",0,IF(Itens_B!$D48="risco",IF(Entradas_B!AB48=Itens_B!$E48,Itens_B!$C48,0),IF(Itens_B!$D48="mitigacao",IF(Entradas_B!AB48="Sim",-Itens_B!$C48,Itens_B!$C48),IF(Itens_B!$D48="evidencia",IF(Entradas_B!AB48="Sim",-Itens_B!$C48,0),0))))</f>
        <v/>
      </c>
      <c r="AB50">
        <f>IF(Entradas_B!AC48="N/A",0,IF(Itens_B!$D48="risco",IF(Entradas_B!AC48=Itens_B!$E48,Itens_B!$C48,0),IF(Itens_B!$D48="mitigacao",IF(Entradas_B!AC48="Sim",-Itens_B!$C48,Itens_B!$C48),IF(Itens_B!$D48="evidencia",IF(Entradas_B!AC48="Sim",-Itens_B!$C48,0),0))))</f>
        <v/>
      </c>
      <c r="AC50">
        <f>IF(Entradas_B!AD48="N/A",0,IF(Itens_B!$D48="risco",IF(Entradas_B!AD48=Itens_B!$E48,Itens_B!$C48,0),IF(Itens_B!$D48="mitigacao",IF(Entradas_B!AD48="Sim",-Itens_B!$C48,Itens_B!$C48),IF(Itens_B!$D48="evidencia",IF(Entradas_B!AD48="Sim",-Itens_B!$C48,0),0))))</f>
        <v/>
      </c>
      <c r="AD50">
        <f>IF(Entradas_B!AE48="N/A",0,IF(Itens_B!$D48="risco",IF(Entradas_B!AE48=Itens_B!$E48,Itens_B!$C48,0),IF(Itens_B!$D48="mitigacao",IF(Entradas_B!AE48="Sim",-Itens_B!$C48,Itens_B!$C48),IF(Itens_B!$D48="evidencia",IF(Entradas_B!AE48="Sim",-Itens_B!$C48,0),0))))</f>
        <v/>
      </c>
      <c r="AE50">
        <f>IF(Entradas_B!AF48="N/A",0,IF(Itens_B!$D48="risco",IF(Entradas_B!AF48=Itens_B!$E48,Itens_B!$C48,0),IF(Itens_B!$D48="mitigacao",IF(Entradas_B!AF48="Sim",-Itens_B!$C48,Itens_B!$C48),IF(Itens_B!$D48="evidencia",IF(Entradas_B!AF48="Sim",-Itens_B!$C48,0),0))))</f>
        <v/>
      </c>
      <c r="AF50">
        <f>IF(Entradas_B!AG48="N/A",0,IF(Itens_B!$D48="risco",IF(Entradas_B!AG48=Itens_B!$E48,Itens_B!$C48,0),IF(Itens_B!$D48="mitigacao",IF(Entradas_B!AG48="Sim",-Itens_B!$C48,Itens_B!$C48),IF(Itens_B!$D48="evidencia",IF(Entradas_B!AG48="Sim",-Itens_B!$C48,0),0))))</f>
        <v/>
      </c>
    </row>
    <row r="51">
      <c r="A51" t="inlineStr">
        <is>
          <t>P6.12</t>
        </is>
      </c>
      <c r="B51">
        <f>IF(Entradas_B!C49="N/A",0,IF(Itens_B!$D49="risco",IF(Entradas_B!C49=Itens_B!$E49,Itens_B!$C49,0),IF(Itens_B!$D49="mitigacao",IF(Entradas_B!C49="Sim",-Itens_B!$C49,Itens_B!$C49),IF(Itens_B!$D49="evidencia",IF(Entradas_B!C49="Sim",-Itens_B!$C49,0),0))))</f>
        <v/>
      </c>
      <c r="C51">
        <f>IF(Entradas_B!D49="N/A",0,IF(Itens_B!$D49="risco",IF(Entradas_B!D49=Itens_B!$E49,Itens_B!$C49,0),IF(Itens_B!$D49="mitigacao",IF(Entradas_B!D49="Sim",-Itens_B!$C49,Itens_B!$C49),IF(Itens_B!$D49="evidencia",IF(Entradas_B!D49="Sim",-Itens_B!$C49,0),0))))</f>
        <v/>
      </c>
      <c r="D51">
        <f>IF(Entradas_B!E49="N/A",0,IF(Itens_B!$D49="risco",IF(Entradas_B!E49=Itens_B!$E49,Itens_B!$C49,0),IF(Itens_B!$D49="mitigacao",IF(Entradas_B!E49="Sim",-Itens_B!$C49,Itens_B!$C49),IF(Itens_B!$D49="evidencia",IF(Entradas_B!E49="Sim",-Itens_B!$C49,0),0))))</f>
        <v/>
      </c>
      <c r="E51">
        <f>IF(Entradas_B!F49="N/A",0,IF(Itens_B!$D49="risco",IF(Entradas_B!F49=Itens_B!$E49,Itens_B!$C49,0),IF(Itens_B!$D49="mitigacao",IF(Entradas_B!F49="Sim",-Itens_B!$C49,Itens_B!$C49),IF(Itens_B!$D49="evidencia",IF(Entradas_B!F49="Sim",-Itens_B!$C49,0),0))))</f>
        <v/>
      </c>
      <c r="F51">
        <f>IF(Entradas_B!G49="N/A",0,IF(Itens_B!$D49="risco",IF(Entradas_B!G49=Itens_B!$E49,Itens_B!$C49,0),IF(Itens_B!$D49="mitigacao",IF(Entradas_B!G49="Sim",-Itens_B!$C49,Itens_B!$C49),IF(Itens_B!$D49="evidencia",IF(Entradas_B!G49="Sim",-Itens_B!$C49,0),0))))</f>
        <v/>
      </c>
      <c r="G51">
        <f>IF(Entradas_B!H49="N/A",0,IF(Itens_B!$D49="risco",IF(Entradas_B!H49=Itens_B!$E49,Itens_B!$C49,0),IF(Itens_B!$D49="mitigacao",IF(Entradas_B!H49="Sim",-Itens_B!$C49,Itens_B!$C49),IF(Itens_B!$D49="evidencia",IF(Entradas_B!H49="Sim",-Itens_B!$C49,0),0))))</f>
        <v/>
      </c>
      <c r="H51">
        <f>IF(Entradas_B!I49="N/A",0,IF(Itens_B!$D49="risco",IF(Entradas_B!I49=Itens_B!$E49,Itens_B!$C49,0),IF(Itens_B!$D49="mitigacao",IF(Entradas_B!I49="Sim",-Itens_B!$C49,Itens_B!$C49),IF(Itens_B!$D49="evidencia",IF(Entradas_B!I49="Sim",-Itens_B!$C49,0),0))))</f>
        <v/>
      </c>
      <c r="I51">
        <f>IF(Entradas_B!J49="N/A",0,IF(Itens_B!$D49="risco",IF(Entradas_B!J49=Itens_B!$E49,Itens_B!$C49,0),IF(Itens_B!$D49="mitigacao",IF(Entradas_B!J49="Sim",-Itens_B!$C49,Itens_B!$C49),IF(Itens_B!$D49="evidencia",IF(Entradas_B!J49="Sim",-Itens_B!$C49,0),0))))</f>
        <v/>
      </c>
      <c r="J51">
        <f>IF(Entradas_B!K49="N/A",0,IF(Itens_B!$D49="risco",IF(Entradas_B!K49=Itens_B!$E49,Itens_B!$C49,0),IF(Itens_B!$D49="mitigacao",IF(Entradas_B!K49="Sim",-Itens_B!$C49,Itens_B!$C49),IF(Itens_B!$D49="evidencia",IF(Entradas_B!K49="Sim",-Itens_B!$C49,0),0))))</f>
        <v/>
      </c>
      <c r="K51">
        <f>IF(Entradas_B!L49="N/A",0,IF(Itens_B!$D49="risco",IF(Entradas_B!L49=Itens_B!$E49,Itens_B!$C49,0),IF(Itens_B!$D49="mitigacao",IF(Entradas_B!L49="Sim",-Itens_B!$C49,Itens_B!$C49),IF(Itens_B!$D49="evidencia",IF(Entradas_B!L49="Sim",-Itens_B!$C49,0),0))))</f>
        <v/>
      </c>
      <c r="L51">
        <f>IF(Entradas_B!M49="N/A",0,IF(Itens_B!$D49="risco",IF(Entradas_B!M49=Itens_B!$E49,Itens_B!$C49,0),IF(Itens_B!$D49="mitigacao",IF(Entradas_B!M49="Sim",-Itens_B!$C49,Itens_B!$C49),IF(Itens_B!$D49="evidencia",IF(Entradas_B!M49="Sim",-Itens_B!$C49,0),0))))</f>
        <v/>
      </c>
      <c r="M51">
        <f>IF(Entradas_B!N49="N/A",0,IF(Itens_B!$D49="risco",IF(Entradas_B!N49=Itens_B!$E49,Itens_B!$C49,0),IF(Itens_B!$D49="mitigacao",IF(Entradas_B!N49="Sim",-Itens_B!$C49,Itens_B!$C49),IF(Itens_B!$D49="evidencia",IF(Entradas_B!N49="Sim",-Itens_B!$C49,0),0))))</f>
        <v/>
      </c>
      <c r="N51">
        <f>IF(Entradas_B!O49="N/A",0,IF(Itens_B!$D49="risco",IF(Entradas_B!O49=Itens_B!$E49,Itens_B!$C49,0),IF(Itens_B!$D49="mitigacao",IF(Entradas_B!O49="Sim",-Itens_B!$C49,Itens_B!$C49),IF(Itens_B!$D49="evidencia",IF(Entradas_B!O49="Sim",-Itens_B!$C49,0),0))))</f>
        <v/>
      </c>
      <c r="O51">
        <f>IF(Entradas_B!P49="N/A",0,IF(Itens_B!$D49="risco",IF(Entradas_B!P49=Itens_B!$E49,Itens_B!$C49,0),IF(Itens_B!$D49="mitigacao",IF(Entradas_B!P49="Sim",-Itens_B!$C49,Itens_B!$C49),IF(Itens_B!$D49="evidencia",IF(Entradas_B!P49="Sim",-Itens_B!$C49,0),0))))</f>
        <v/>
      </c>
      <c r="P51">
        <f>IF(Entradas_B!Q49="N/A",0,IF(Itens_B!$D49="risco",IF(Entradas_B!Q49=Itens_B!$E49,Itens_B!$C49,0),IF(Itens_B!$D49="mitigacao",IF(Entradas_B!Q49="Sim",-Itens_B!$C49,Itens_B!$C49),IF(Itens_B!$D49="evidencia",IF(Entradas_B!Q49="Sim",-Itens_B!$C49,0),0))))</f>
        <v/>
      </c>
      <c r="Q51">
        <f>IF(Entradas_B!R49="N/A",0,IF(Itens_B!$D49="risco",IF(Entradas_B!R49=Itens_B!$E49,Itens_B!$C49,0),IF(Itens_B!$D49="mitigacao",IF(Entradas_B!R49="Sim",-Itens_B!$C49,Itens_B!$C49),IF(Itens_B!$D49="evidencia",IF(Entradas_B!R49="Sim",-Itens_B!$C49,0),0))))</f>
        <v/>
      </c>
      <c r="R51">
        <f>IF(Entradas_B!S49="N/A",0,IF(Itens_B!$D49="risco",IF(Entradas_B!S49=Itens_B!$E49,Itens_B!$C49,0),IF(Itens_B!$D49="mitigacao",IF(Entradas_B!S49="Sim",-Itens_B!$C49,Itens_B!$C49),IF(Itens_B!$D49="evidencia",IF(Entradas_B!S49="Sim",-Itens_B!$C49,0),0))))</f>
        <v/>
      </c>
      <c r="S51">
        <f>IF(Entradas_B!T49="N/A",0,IF(Itens_B!$D49="risco",IF(Entradas_B!T49=Itens_B!$E49,Itens_B!$C49,0),IF(Itens_B!$D49="mitigacao",IF(Entradas_B!T49="Sim",-Itens_B!$C49,Itens_B!$C49),IF(Itens_B!$D49="evidencia",IF(Entradas_B!T49="Sim",-Itens_B!$C49,0),0))))</f>
        <v/>
      </c>
      <c r="T51">
        <f>IF(Entradas_B!U49="N/A",0,IF(Itens_B!$D49="risco",IF(Entradas_B!U49=Itens_B!$E49,Itens_B!$C49,0),IF(Itens_B!$D49="mitigacao",IF(Entradas_B!U49="Sim",-Itens_B!$C49,Itens_B!$C49),IF(Itens_B!$D49="evidencia",IF(Entradas_B!U49="Sim",-Itens_B!$C49,0),0))))</f>
        <v/>
      </c>
      <c r="U51">
        <f>IF(Entradas_B!V49="N/A",0,IF(Itens_B!$D49="risco",IF(Entradas_B!V49=Itens_B!$E49,Itens_B!$C49,0),IF(Itens_B!$D49="mitigacao",IF(Entradas_B!V49="Sim",-Itens_B!$C49,Itens_B!$C49),IF(Itens_B!$D49="evidencia",IF(Entradas_B!V49="Sim",-Itens_B!$C49,0),0))))</f>
        <v/>
      </c>
      <c r="V51">
        <f>IF(Entradas_B!W49="N/A",0,IF(Itens_B!$D49="risco",IF(Entradas_B!W49=Itens_B!$E49,Itens_B!$C49,0),IF(Itens_B!$D49="mitigacao",IF(Entradas_B!W49="Sim",-Itens_B!$C49,Itens_B!$C49),IF(Itens_B!$D49="evidencia",IF(Entradas_B!W49="Sim",-Itens_B!$C49,0),0))))</f>
        <v/>
      </c>
      <c r="W51">
        <f>IF(Entradas_B!X49="N/A",0,IF(Itens_B!$D49="risco",IF(Entradas_B!X49=Itens_B!$E49,Itens_B!$C49,0),IF(Itens_B!$D49="mitigacao",IF(Entradas_B!X49="Sim",-Itens_B!$C49,Itens_B!$C49),IF(Itens_B!$D49="evidencia",IF(Entradas_B!X49="Sim",-Itens_B!$C49,0),0))))</f>
        <v/>
      </c>
      <c r="X51">
        <f>IF(Entradas_B!Y49="N/A",0,IF(Itens_B!$D49="risco",IF(Entradas_B!Y49=Itens_B!$E49,Itens_B!$C49,0),IF(Itens_B!$D49="mitigacao",IF(Entradas_B!Y49="Sim",-Itens_B!$C49,Itens_B!$C49),IF(Itens_B!$D49="evidencia",IF(Entradas_B!Y49="Sim",-Itens_B!$C49,0),0))))</f>
        <v/>
      </c>
      <c r="Y51">
        <f>IF(Entradas_B!Z49="N/A",0,IF(Itens_B!$D49="risco",IF(Entradas_B!Z49=Itens_B!$E49,Itens_B!$C49,0),IF(Itens_B!$D49="mitigacao",IF(Entradas_B!Z49="Sim",-Itens_B!$C49,Itens_B!$C49),IF(Itens_B!$D49="evidencia",IF(Entradas_B!Z49="Sim",-Itens_B!$C49,0),0))))</f>
        <v/>
      </c>
      <c r="Z51">
        <f>IF(Entradas_B!AA49="N/A",0,IF(Itens_B!$D49="risco",IF(Entradas_B!AA49=Itens_B!$E49,Itens_B!$C49,0),IF(Itens_B!$D49="mitigacao",IF(Entradas_B!AA49="Sim",-Itens_B!$C49,Itens_B!$C49),IF(Itens_B!$D49="evidencia",IF(Entradas_B!AA49="Sim",-Itens_B!$C49,0),0))))</f>
        <v/>
      </c>
      <c r="AA51">
        <f>IF(Entradas_B!AB49="N/A",0,IF(Itens_B!$D49="risco",IF(Entradas_B!AB49=Itens_B!$E49,Itens_B!$C49,0),IF(Itens_B!$D49="mitigacao",IF(Entradas_B!AB49="Sim",-Itens_B!$C49,Itens_B!$C49),IF(Itens_B!$D49="evidencia",IF(Entradas_B!AB49="Sim",-Itens_B!$C49,0),0))))</f>
        <v/>
      </c>
      <c r="AB51">
        <f>IF(Entradas_B!AC49="N/A",0,IF(Itens_B!$D49="risco",IF(Entradas_B!AC49=Itens_B!$E49,Itens_B!$C49,0),IF(Itens_B!$D49="mitigacao",IF(Entradas_B!AC49="Sim",-Itens_B!$C49,Itens_B!$C49),IF(Itens_B!$D49="evidencia",IF(Entradas_B!AC49="Sim",-Itens_B!$C49,0),0))))</f>
        <v/>
      </c>
      <c r="AC51">
        <f>IF(Entradas_B!AD49="N/A",0,IF(Itens_B!$D49="risco",IF(Entradas_B!AD49=Itens_B!$E49,Itens_B!$C49,0),IF(Itens_B!$D49="mitigacao",IF(Entradas_B!AD49="Sim",-Itens_B!$C49,Itens_B!$C49),IF(Itens_B!$D49="evidencia",IF(Entradas_B!AD49="Sim",-Itens_B!$C49,0),0))))</f>
        <v/>
      </c>
      <c r="AD51">
        <f>IF(Entradas_B!AE49="N/A",0,IF(Itens_B!$D49="risco",IF(Entradas_B!AE49=Itens_B!$E49,Itens_B!$C49,0),IF(Itens_B!$D49="mitigacao",IF(Entradas_B!AE49="Sim",-Itens_B!$C49,Itens_B!$C49),IF(Itens_B!$D49="evidencia",IF(Entradas_B!AE49="Sim",-Itens_B!$C49,0),0))))</f>
        <v/>
      </c>
      <c r="AE51">
        <f>IF(Entradas_B!AF49="N/A",0,IF(Itens_B!$D49="risco",IF(Entradas_B!AF49=Itens_B!$E49,Itens_B!$C49,0),IF(Itens_B!$D49="mitigacao",IF(Entradas_B!AF49="Sim",-Itens_B!$C49,Itens_B!$C49),IF(Itens_B!$D49="evidencia",IF(Entradas_B!AF49="Sim",-Itens_B!$C49,0),0))))</f>
        <v/>
      </c>
      <c r="AF51">
        <f>IF(Entradas_B!AG49="N/A",0,IF(Itens_B!$D49="risco",IF(Entradas_B!AG49=Itens_B!$E49,Itens_B!$C49,0),IF(Itens_B!$D49="mitigacao",IF(Entradas_B!AG49="Sim",-Itens_B!$C49,Itens_B!$C49),IF(Itens_B!$D49="evidencia",IF(Entradas_B!AG49="Sim",-Itens_B!$C49,0),0))))</f>
        <v/>
      </c>
    </row>
    <row r="52">
      <c r="A52" t="inlineStr">
        <is>
          <t>P6.13</t>
        </is>
      </c>
      <c r="B52">
        <f>IF(Entradas_B!C50="N/A",0,IF(Itens_B!$D50="risco",IF(Entradas_B!C50=Itens_B!$E50,Itens_B!$C50,0),IF(Itens_B!$D50="mitigacao",IF(Entradas_B!C50="Sim",-Itens_B!$C50,Itens_B!$C50),IF(Itens_B!$D50="evidencia",IF(Entradas_B!C50="Sim",-Itens_B!$C50,0),0))))</f>
        <v/>
      </c>
      <c r="C52">
        <f>IF(Entradas_B!D50="N/A",0,IF(Itens_B!$D50="risco",IF(Entradas_B!D50=Itens_B!$E50,Itens_B!$C50,0),IF(Itens_B!$D50="mitigacao",IF(Entradas_B!D50="Sim",-Itens_B!$C50,Itens_B!$C50),IF(Itens_B!$D50="evidencia",IF(Entradas_B!D50="Sim",-Itens_B!$C50,0),0))))</f>
        <v/>
      </c>
      <c r="D52">
        <f>IF(Entradas_B!E50="N/A",0,IF(Itens_B!$D50="risco",IF(Entradas_B!E50=Itens_B!$E50,Itens_B!$C50,0),IF(Itens_B!$D50="mitigacao",IF(Entradas_B!E50="Sim",-Itens_B!$C50,Itens_B!$C50),IF(Itens_B!$D50="evidencia",IF(Entradas_B!E50="Sim",-Itens_B!$C50,0),0))))</f>
        <v/>
      </c>
      <c r="E52">
        <f>IF(Entradas_B!F50="N/A",0,IF(Itens_B!$D50="risco",IF(Entradas_B!F50=Itens_B!$E50,Itens_B!$C50,0),IF(Itens_B!$D50="mitigacao",IF(Entradas_B!F50="Sim",-Itens_B!$C50,Itens_B!$C50),IF(Itens_B!$D50="evidencia",IF(Entradas_B!F50="Sim",-Itens_B!$C50,0),0))))</f>
        <v/>
      </c>
      <c r="F52">
        <f>IF(Entradas_B!G50="N/A",0,IF(Itens_B!$D50="risco",IF(Entradas_B!G50=Itens_B!$E50,Itens_B!$C50,0),IF(Itens_B!$D50="mitigacao",IF(Entradas_B!G50="Sim",-Itens_B!$C50,Itens_B!$C50),IF(Itens_B!$D50="evidencia",IF(Entradas_B!G50="Sim",-Itens_B!$C50,0),0))))</f>
        <v/>
      </c>
      <c r="G52">
        <f>IF(Entradas_B!H50="N/A",0,IF(Itens_B!$D50="risco",IF(Entradas_B!H50=Itens_B!$E50,Itens_B!$C50,0),IF(Itens_B!$D50="mitigacao",IF(Entradas_B!H50="Sim",-Itens_B!$C50,Itens_B!$C50),IF(Itens_B!$D50="evidencia",IF(Entradas_B!H50="Sim",-Itens_B!$C50,0),0))))</f>
        <v/>
      </c>
      <c r="H52">
        <f>IF(Entradas_B!I50="N/A",0,IF(Itens_B!$D50="risco",IF(Entradas_B!I50=Itens_B!$E50,Itens_B!$C50,0),IF(Itens_B!$D50="mitigacao",IF(Entradas_B!I50="Sim",-Itens_B!$C50,Itens_B!$C50),IF(Itens_B!$D50="evidencia",IF(Entradas_B!I50="Sim",-Itens_B!$C50,0),0))))</f>
        <v/>
      </c>
      <c r="I52">
        <f>IF(Entradas_B!J50="N/A",0,IF(Itens_B!$D50="risco",IF(Entradas_B!J50=Itens_B!$E50,Itens_B!$C50,0),IF(Itens_B!$D50="mitigacao",IF(Entradas_B!J50="Sim",-Itens_B!$C50,Itens_B!$C50),IF(Itens_B!$D50="evidencia",IF(Entradas_B!J50="Sim",-Itens_B!$C50,0),0))))</f>
        <v/>
      </c>
      <c r="J52">
        <f>IF(Entradas_B!K50="N/A",0,IF(Itens_B!$D50="risco",IF(Entradas_B!K50=Itens_B!$E50,Itens_B!$C50,0),IF(Itens_B!$D50="mitigacao",IF(Entradas_B!K50="Sim",-Itens_B!$C50,Itens_B!$C50),IF(Itens_B!$D50="evidencia",IF(Entradas_B!K50="Sim",-Itens_B!$C50,0),0))))</f>
        <v/>
      </c>
      <c r="K52">
        <f>IF(Entradas_B!L50="N/A",0,IF(Itens_B!$D50="risco",IF(Entradas_B!L50=Itens_B!$E50,Itens_B!$C50,0),IF(Itens_B!$D50="mitigacao",IF(Entradas_B!L50="Sim",-Itens_B!$C50,Itens_B!$C50),IF(Itens_B!$D50="evidencia",IF(Entradas_B!L50="Sim",-Itens_B!$C50,0),0))))</f>
        <v/>
      </c>
      <c r="L52">
        <f>IF(Entradas_B!M50="N/A",0,IF(Itens_B!$D50="risco",IF(Entradas_B!M50=Itens_B!$E50,Itens_B!$C50,0),IF(Itens_B!$D50="mitigacao",IF(Entradas_B!M50="Sim",-Itens_B!$C50,Itens_B!$C50),IF(Itens_B!$D50="evidencia",IF(Entradas_B!M50="Sim",-Itens_B!$C50,0),0))))</f>
        <v/>
      </c>
      <c r="M52">
        <f>IF(Entradas_B!N50="N/A",0,IF(Itens_B!$D50="risco",IF(Entradas_B!N50=Itens_B!$E50,Itens_B!$C50,0),IF(Itens_B!$D50="mitigacao",IF(Entradas_B!N50="Sim",-Itens_B!$C50,Itens_B!$C50),IF(Itens_B!$D50="evidencia",IF(Entradas_B!N50="Sim",-Itens_B!$C50,0),0))))</f>
        <v/>
      </c>
      <c r="N52">
        <f>IF(Entradas_B!O50="N/A",0,IF(Itens_B!$D50="risco",IF(Entradas_B!O50=Itens_B!$E50,Itens_B!$C50,0),IF(Itens_B!$D50="mitigacao",IF(Entradas_B!O50="Sim",-Itens_B!$C50,Itens_B!$C50),IF(Itens_B!$D50="evidencia",IF(Entradas_B!O50="Sim",-Itens_B!$C50,0),0))))</f>
        <v/>
      </c>
      <c r="O52">
        <f>IF(Entradas_B!P50="N/A",0,IF(Itens_B!$D50="risco",IF(Entradas_B!P50=Itens_B!$E50,Itens_B!$C50,0),IF(Itens_B!$D50="mitigacao",IF(Entradas_B!P50="Sim",-Itens_B!$C50,Itens_B!$C50),IF(Itens_B!$D50="evidencia",IF(Entradas_B!P50="Sim",-Itens_B!$C50,0),0))))</f>
        <v/>
      </c>
      <c r="P52">
        <f>IF(Entradas_B!Q50="N/A",0,IF(Itens_B!$D50="risco",IF(Entradas_B!Q50=Itens_B!$E50,Itens_B!$C50,0),IF(Itens_B!$D50="mitigacao",IF(Entradas_B!Q50="Sim",-Itens_B!$C50,Itens_B!$C50),IF(Itens_B!$D50="evidencia",IF(Entradas_B!Q50="Sim",-Itens_B!$C50,0),0))))</f>
        <v/>
      </c>
      <c r="Q52">
        <f>IF(Entradas_B!R50="N/A",0,IF(Itens_B!$D50="risco",IF(Entradas_B!R50=Itens_B!$E50,Itens_B!$C50,0),IF(Itens_B!$D50="mitigacao",IF(Entradas_B!R50="Sim",-Itens_B!$C50,Itens_B!$C50),IF(Itens_B!$D50="evidencia",IF(Entradas_B!R50="Sim",-Itens_B!$C50,0),0))))</f>
        <v/>
      </c>
      <c r="R52">
        <f>IF(Entradas_B!S50="N/A",0,IF(Itens_B!$D50="risco",IF(Entradas_B!S50=Itens_B!$E50,Itens_B!$C50,0),IF(Itens_B!$D50="mitigacao",IF(Entradas_B!S50="Sim",-Itens_B!$C50,Itens_B!$C50),IF(Itens_B!$D50="evidencia",IF(Entradas_B!S50="Sim",-Itens_B!$C50,0),0))))</f>
        <v/>
      </c>
      <c r="S52">
        <f>IF(Entradas_B!T50="N/A",0,IF(Itens_B!$D50="risco",IF(Entradas_B!T50=Itens_B!$E50,Itens_B!$C50,0),IF(Itens_B!$D50="mitigacao",IF(Entradas_B!T50="Sim",-Itens_B!$C50,Itens_B!$C50),IF(Itens_B!$D50="evidencia",IF(Entradas_B!T50="Sim",-Itens_B!$C50,0),0))))</f>
        <v/>
      </c>
      <c r="T52">
        <f>IF(Entradas_B!U50="N/A",0,IF(Itens_B!$D50="risco",IF(Entradas_B!U50=Itens_B!$E50,Itens_B!$C50,0),IF(Itens_B!$D50="mitigacao",IF(Entradas_B!U50="Sim",-Itens_B!$C50,Itens_B!$C50),IF(Itens_B!$D50="evidencia",IF(Entradas_B!U50="Sim",-Itens_B!$C50,0),0))))</f>
        <v/>
      </c>
      <c r="U52">
        <f>IF(Entradas_B!V50="N/A",0,IF(Itens_B!$D50="risco",IF(Entradas_B!V50=Itens_B!$E50,Itens_B!$C50,0),IF(Itens_B!$D50="mitigacao",IF(Entradas_B!V50="Sim",-Itens_B!$C50,Itens_B!$C50),IF(Itens_B!$D50="evidencia",IF(Entradas_B!V50="Sim",-Itens_B!$C50,0),0))))</f>
        <v/>
      </c>
      <c r="V52">
        <f>IF(Entradas_B!W50="N/A",0,IF(Itens_B!$D50="risco",IF(Entradas_B!W50=Itens_B!$E50,Itens_B!$C50,0),IF(Itens_B!$D50="mitigacao",IF(Entradas_B!W50="Sim",-Itens_B!$C50,Itens_B!$C50),IF(Itens_B!$D50="evidencia",IF(Entradas_B!W50="Sim",-Itens_B!$C50,0),0))))</f>
        <v/>
      </c>
      <c r="W52">
        <f>IF(Entradas_B!X50="N/A",0,IF(Itens_B!$D50="risco",IF(Entradas_B!X50=Itens_B!$E50,Itens_B!$C50,0),IF(Itens_B!$D50="mitigacao",IF(Entradas_B!X50="Sim",-Itens_B!$C50,Itens_B!$C50),IF(Itens_B!$D50="evidencia",IF(Entradas_B!X50="Sim",-Itens_B!$C50,0),0))))</f>
        <v/>
      </c>
      <c r="X52">
        <f>IF(Entradas_B!Y50="N/A",0,IF(Itens_B!$D50="risco",IF(Entradas_B!Y50=Itens_B!$E50,Itens_B!$C50,0),IF(Itens_B!$D50="mitigacao",IF(Entradas_B!Y50="Sim",-Itens_B!$C50,Itens_B!$C50),IF(Itens_B!$D50="evidencia",IF(Entradas_B!Y50="Sim",-Itens_B!$C50,0),0))))</f>
        <v/>
      </c>
      <c r="Y52">
        <f>IF(Entradas_B!Z50="N/A",0,IF(Itens_B!$D50="risco",IF(Entradas_B!Z50=Itens_B!$E50,Itens_B!$C50,0),IF(Itens_B!$D50="mitigacao",IF(Entradas_B!Z50="Sim",-Itens_B!$C50,Itens_B!$C50),IF(Itens_B!$D50="evidencia",IF(Entradas_B!Z50="Sim",-Itens_B!$C50,0),0))))</f>
        <v/>
      </c>
      <c r="Z52">
        <f>IF(Entradas_B!AA50="N/A",0,IF(Itens_B!$D50="risco",IF(Entradas_B!AA50=Itens_B!$E50,Itens_B!$C50,0),IF(Itens_B!$D50="mitigacao",IF(Entradas_B!AA50="Sim",-Itens_B!$C50,Itens_B!$C50),IF(Itens_B!$D50="evidencia",IF(Entradas_B!AA50="Sim",-Itens_B!$C50,0),0))))</f>
        <v/>
      </c>
      <c r="AA52">
        <f>IF(Entradas_B!AB50="N/A",0,IF(Itens_B!$D50="risco",IF(Entradas_B!AB50=Itens_B!$E50,Itens_B!$C50,0),IF(Itens_B!$D50="mitigacao",IF(Entradas_B!AB50="Sim",-Itens_B!$C50,Itens_B!$C50),IF(Itens_B!$D50="evidencia",IF(Entradas_B!AB50="Sim",-Itens_B!$C50,0),0))))</f>
        <v/>
      </c>
      <c r="AB52">
        <f>IF(Entradas_B!AC50="N/A",0,IF(Itens_B!$D50="risco",IF(Entradas_B!AC50=Itens_B!$E50,Itens_B!$C50,0),IF(Itens_B!$D50="mitigacao",IF(Entradas_B!AC50="Sim",-Itens_B!$C50,Itens_B!$C50),IF(Itens_B!$D50="evidencia",IF(Entradas_B!AC50="Sim",-Itens_B!$C50,0),0))))</f>
        <v/>
      </c>
      <c r="AC52">
        <f>IF(Entradas_B!AD50="N/A",0,IF(Itens_B!$D50="risco",IF(Entradas_B!AD50=Itens_B!$E50,Itens_B!$C50,0),IF(Itens_B!$D50="mitigacao",IF(Entradas_B!AD50="Sim",-Itens_B!$C50,Itens_B!$C50),IF(Itens_B!$D50="evidencia",IF(Entradas_B!AD50="Sim",-Itens_B!$C50,0),0))))</f>
        <v/>
      </c>
      <c r="AD52">
        <f>IF(Entradas_B!AE50="N/A",0,IF(Itens_B!$D50="risco",IF(Entradas_B!AE50=Itens_B!$E50,Itens_B!$C50,0),IF(Itens_B!$D50="mitigacao",IF(Entradas_B!AE50="Sim",-Itens_B!$C50,Itens_B!$C50),IF(Itens_B!$D50="evidencia",IF(Entradas_B!AE50="Sim",-Itens_B!$C50,0),0))))</f>
        <v/>
      </c>
      <c r="AE52">
        <f>IF(Entradas_B!AF50="N/A",0,IF(Itens_B!$D50="risco",IF(Entradas_B!AF50=Itens_B!$E50,Itens_B!$C50,0),IF(Itens_B!$D50="mitigacao",IF(Entradas_B!AF50="Sim",-Itens_B!$C50,Itens_B!$C50),IF(Itens_B!$D50="evidencia",IF(Entradas_B!AF50="Sim",-Itens_B!$C50,0),0))))</f>
        <v/>
      </c>
      <c r="AF52">
        <f>IF(Entradas_B!AG50="N/A",0,IF(Itens_B!$D50="risco",IF(Entradas_B!AG50=Itens_B!$E50,Itens_B!$C50,0),IF(Itens_B!$D50="mitigacao",IF(Entradas_B!AG50="Sim",-Itens_B!$C50,Itens_B!$C50),IF(Itens_B!$D50="evidencia",IF(Entradas_B!AG50="Sim",-Itens_B!$C50,0),0))))</f>
        <v/>
      </c>
    </row>
    <row r="53">
      <c r="A53" t="inlineStr">
        <is>
          <t>P6.b.1</t>
        </is>
      </c>
      <c r="B53">
        <f>IF(Entradas_B!C51="N/A",0,IF(Itens_B!$D51="risco",IF(Entradas_B!C51=Itens_B!$E51,Itens_B!$C51,0),IF(Itens_B!$D51="mitigacao",IF(Entradas_B!C51="Sim",-Itens_B!$C51,Itens_B!$C51),IF(Itens_B!$D51="evidencia",IF(Entradas_B!C51="Sim",-Itens_B!$C51,0),0))))</f>
        <v/>
      </c>
      <c r="C53">
        <f>IF(Entradas_B!D51="N/A",0,IF(Itens_B!$D51="risco",IF(Entradas_B!D51=Itens_B!$E51,Itens_B!$C51,0),IF(Itens_B!$D51="mitigacao",IF(Entradas_B!D51="Sim",-Itens_B!$C51,Itens_B!$C51),IF(Itens_B!$D51="evidencia",IF(Entradas_B!D51="Sim",-Itens_B!$C51,0),0))))</f>
        <v/>
      </c>
      <c r="D53">
        <f>IF(Entradas_B!E51="N/A",0,IF(Itens_B!$D51="risco",IF(Entradas_B!E51=Itens_B!$E51,Itens_B!$C51,0),IF(Itens_B!$D51="mitigacao",IF(Entradas_B!E51="Sim",-Itens_B!$C51,Itens_B!$C51),IF(Itens_B!$D51="evidencia",IF(Entradas_B!E51="Sim",-Itens_B!$C51,0),0))))</f>
        <v/>
      </c>
      <c r="E53">
        <f>IF(Entradas_B!F51="N/A",0,IF(Itens_B!$D51="risco",IF(Entradas_B!F51=Itens_B!$E51,Itens_B!$C51,0),IF(Itens_B!$D51="mitigacao",IF(Entradas_B!F51="Sim",-Itens_B!$C51,Itens_B!$C51),IF(Itens_B!$D51="evidencia",IF(Entradas_B!F51="Sim",-Itens_B!$C51,0),0))))</f>
        <v/>
      </c>
      <c r="F53">
        <f>IF(Entradas_B!G51="N/A",0,IF(Itens_B!$D51="risco",IF(Entradas_B!G51=Itens_B!$E51,Itens_B!$C51,0),IF(Itens_B!$D51="mitigacao",IF(Entradas_B!G51="Sim",-Itens_B!$C51,Itens_B!$C51),IF(Itens_B!$D51="evidencia",IF(Entradas_B!G51="Sim",-Itens_B!$C51,0),0))))</f>
        <v/>
      </c>
      <c r="G53">
        <f>IF(Entradas_B!H51="N/A",0,IF(Itens_B!$D51="risco",IF(Entradas_B!H51=Itens_B!$E51,Itens_B!$C51,0),IF(Itens_B!$D51="mitigacao",IF(Entradas_B!H51="Sim",-Itens_B!$C51,Itens_B!$C51),IF(Itens_B!$D51="evidencia",IF(Entradas_B!H51="Sim",-Itens_B!$C51,0),0))))</f>
        <v/>
      </c>
      <c r="H53">
        <f>IF(Entradas_B!I51="N/A",0,IF(Itens_B!$D51="risco",IF(Entradas_B!I51=Itens_B!$E51,Itens_B!$C51,0),IF(Itens_B!$D51="mitigacao",IF(Entradas_B!I51="Sim",-Itens_B!$C51,Itens_B!$C51),IF(Itens_B!$D51="evidencia",IF(Entradas_B!I51="Sim",-Itens_B!$C51,0),0))))</f>
        <v/>
      </c>
      <c r="I53">
        <f>IF(Entradas_B!J51="N/A",0,IF(Itens_B!$D51="risco",IF(Entradas_B!J51=Itens_B!$E51,Itens_B!$C51,0),IF(Itens_B!$D51="mitigacao",IF(Entradas_B!J51="Sim",-Itens_B!$C51,Itens_B!$C51),IF(Itens_B!$D51="evidencia",IF(Entradas_B!J51="Sim",-Itens_B!$C51,0),0))))</f>
        <v/>
      </c>
      <c r="J53">
        <f>IF(Entradas_B!K51="N/A",0,IF(Itens_B!$D51="risco",IF(Entradas_B!K51=Itens_B!$E51,Itens_B!$C51,0),IF(Itens_B!$D51="mitigacao",IF(Entradas_B!K51="Sim",-Itens_B!$C51,Itens_B!$C51),IF(Itens_B!$D51="evidencia",IF(Entradas_B!K51="Sim",-Itens_B!$C51,0),0))))</f>
        <v/>
      </c>
      <c r="K53">
        <f>IF(Entradas_B!L51="N/A",0,IF(Itens_B!$D51="risco",IF(Entradas_B!L51=Itens_B!$E51,Itens_B!$C51,0),IF(Itens_B!$D51="mitigacao",IF(Entradas_B!L51="Sim",-Itens_B!$C51,Itens_B!$C51),IF(Itens_B!$D51="evidencia",IF(Entradas_B!L51="Sim",-Itens_B!$C51,0),0))))</f>
        <v/>
      </c>
      <c r="L53">
        <f>IF(Entradas_B!M51="N/A",0,IF(Itens_B!$D51="risco",IF(Entradas_B!M51=Itens_B!$E51,Itens_B!$C51,0),IF(Itens_B!$D51="mitigacao",IF(Entradas_B!M51="Sim",-Itens_B!$C51,Itens_B!$C51),IF(Itens_B!$D51="evidencia",IF(Entradas_B!M51="Sim",-Itens_B!$C51,0),0))))</f>
        <v/>
      </c>
      <c r="M53">
        <f>IF(Entradas_B!N51="N/A",0,IF(Itens_B!$D51="risco",IF(Entradas_B!N51=Itens_B!$E51,Itens_B!$C51,0),IF(Itens_B!$D51="mitigacao",IF(Entradas_B!N51="Sim",-Itens_B!$C51,Itens_B!$C51),IF(Itens_B!$D51="evidencia",IF(Entradas_B!N51="Sim",-Itens_B!$C51,0),0))))</f>
        <v/>
      </c>
      <c r="N53">
        <f>IF(Entradas_B!O51="N/A",0,IF(Itens_B!$D51="risco",IF(Entradas_B!O51=Itens_B!$E51,Itens_B!$C51,0),IF(Itens_B!$D51="mitigacao",IF(Entradas_B!O51="Sim",-Itens_B!$C51,Itens_B!$C51),IF(Itens_B!$D51="evidencia",IF(Entradas_B!O51="Sim",-Itens_B!$C51,0),0))))</f>
        <v/>
      </c>
      <c r="O53">
        <f>IF(Entradas_B!P51="N/A",0,IF(Itens_B!$D51="risco",IF(Entradas_B!P51=Itens_B!$E51,Itens_B!$C51,0),IF(Itens_B!$D51="mitigacao",IF(Entradas_B!P51="Sim",-Itens_B!$C51,Itens_B!$C51),IF(Itens_B!$D51="evidencia",IF(Entradas_B!P51="Sim",-Itens_B!$C51,0),0))))</f>
        <v/>
      </c>
      <c r="P53">
        <f>IF(Entradas_B!Q51="N/A",0,IF(Itens_B!$D51="risco",IF(Entradas_B!Q51=Itens_B!$E51,Itens_B!$C51,0),IF(Itens_B!$D51="mitigacao",IF(Entradas_B!Q51="Sim",-Itens_B!$C51,Itens_B!$C51),IF(Itens_B!$D51="evidencia",IF(Entradas_B!Q51="Sim",-Itens_B!$C51,0),0))))</f>
        <v/>
      </c>
      <c r="Q53">
        <f>IF(Entradas_B!R51="N/A",0,IF(Itens_B!$D51="risco",IF(Entradas_B!R51=Itens_B!$E51,Itens_B!$C51,0),IF(Itens_B!$D51="mitigacao",IF(Entradas_B!R51="Sim",-Itens_B!$C51,Itens_B!$C51),IF(Itens_B!$D51="evidencia",IF(Entradas_B!R51="Sim",-Itens_B!$C51,0),0))))</f>
        <v/>
      </c>
      <c r="R53">
        <f>IF(Entradas_B!S51="N/A",0,IF(Itens_B!$D51="risco",IF(Entradas_B!S51=Itens_B!$E51,Itens_B!$C51,0),IF(Itens_B!$D51="mitigacao",IF(Entradas_B!S51="Sim",-Itens_B!$C51,Itens_B!$C51),IF(Itens_B!$D51="evidencia",IF(Entradas_B!S51="Sim",-Itens_B!$C51,0),0))))</f>
        <v/>
      </c>
      <c r="S53">
        <f>IF(Entradas_B!T51="N/A",0,IF(Itens_B!$D51="risco",IF(Entradas_B!T51=Itens_B!$E51,Itens_B!$C51,0),IF(Itens_B!$D51="mitigacao",IF(Entradas_B!T51="Sim",-Itens_B!$C51,Itens_B!$C51),IF(Itens_B!$D51="evidencia",IF(Entradas_B!T51="Sim",-Itens_B!$C51,0),0))))</f>
        <v/>
      </c>
      <c r="T53">
        <f>IF(Entradas_B!U51="N/A",0,IF(Itens_B!$D51="risco",IF(Entradas_B!U51=Itens_B!$E51,Itens_B!$C51,0),IF(Itens_B!$D51="mitigacao",IF(Entradas_B!U51="Sim",-Itens_B!$C51,Itens_B!$C51),IF(Itens_B!$D51="evidencia",IF(Entradas_B!U51="Sim",-Itens_B!$C51,0),0))))</f>
        <v/>
      </c>
      <c r="U53">
        <f>IF(Entradas_B!V51="N/A",0,IF(Itens_B!$D51="risco",IF(Entradas_B!V51=Itens_B!$E51,Itens_B!$C51,0),IF(Itens_B!$D51="mitigacao",IF(Entradas_B!V51="Sim",-Itens_B!$C51,Itens_B!$C51),IF(Itens_B!$D51="evidencia",IF(Entradas_B!V51="Sim",-Itens_B!$C51,0),0))))</f>
        <v/>
      </c>
      <c r="V53">
        <f>IF(Entradas_B!W51="N/A",0,IF(Itens_B!$D51="risco",IF(Entradas_B!W51=Itens_B!$E51,Itens_B!$C51,0),IF(Itens_B!$D51="mitigacao",IF(Entradas_B!W51="Sim",-Itens_B!$C51,Itens_B!$C51),IF(Itens_B!$D51="evidencia",IF(Entradas_B!W51="Sim",-Itens_B!$C51,0),0))))</f>
        <v/>
      </c>
      <c r="W53">
        <f>IF(Entradas_B!X51="N/A",0,IF(Itens_B!$D51="risco",IF(Entradas_B!X51=Itens_B!$E51,Itens_B!$C51,0),IF(Itens_B!$D51="mitigacao",IF(Entradas_B!X51="Sim",-Itens_B!$C51,Itens_B!$C51),IF(Itens_B!$D51="evidencia",IF(Entradas_B!X51="Sim",-Itens_B!$C51,0),0))))</f>
        <v/>
      </c>
      <c r="X53">
        <f>IF(Entradas_B!Y51="N/A",0,IF(Itens_B!$D51="risco",IF(Entradas_B!Y51=Itens_B!$E51,Itens_B!$C51,0),IF(Itens_B!$D51="mitigacao",IF(Entradas_B!Y51="Sim",-Itens_B!$C51,Itens_B!$C51),IF(Itens_B!$D51="evidencia",IF(Entradas_B!Y51="Sim",-Itens_B!$C51,0),0))))</f>
        <v/>
      </c>
      <c r="Y53">
        <f>IF(Entradas_B!Z51="N/A",0,IF(Itens_B!$D51="risco",IF(Entradas_B!Z51=Itens_B!$E51,Itens_B!$C51,0),IF(Itens_B!$D51="mitigacao",IF(Entradas_B!Z51="Sim",-Itens_B!$C51,Itens_B!$C51),IF(Itens_B!$D51="evidencia",IF(Entradas_B!Z51="Sim",-Itens_B!$C51,0),0))))</f>
        <v/>
      </c>
      <c r="Z53">
        <f>IF(Entradas_B!AA51="N/A",0,IF(Itens_B!$D51="risco",IF(Entradas_B!AA51=Itens_B!$E51,Itens_B!$C51,0),IF(Itens_B!$D51="mitigacao",IF(Entradas_B!AA51="Sim",-Itens_B!$C51,Itens_B!$C51),IF(Itens_B!$D51="evidencia",IF(Entradas_B!AA51="Sim",-Itens_B!$C51,0),0))))</f>
        <v/>
      </c>
      <c r="AA53">
        <f>IF(Entradas_B!AB51="N/A",0,IF(Itens_B!$D51="risco",IF(Entradas_B!AB51=Itens_B!$E51,Itens_B!$C51,0),IF(Itens_B!$D51="mitigacao",IF(Entradas_B!AB51="Sim",-Itens_B!$C51,Itens_B!$C51),IF(Itens_B!$D51="evidencia",IF(Entradas_B!AB51="Sim",-Itens_B!$C51,0),0))))</f>
        <v/>
      </c>
      <c r="AB53">
        <f>IF(Entradas_B!AC51="N/A",0,IF(Itens_B!$D51="risco",IF(Entradas_B!AC51=Itens_B!$E51,Itens_B!$C51,0),IF(Itens_B!$D51="mitigacao",IF(Entradas_B!AC51="Sim",-Itens_B!$C51,Itens_B!$C51),IF(Itens_B!$D51="evidencia",IF(Entradas_B!AC51="Sim",-Itens_B!$C51,0),0))))</f>
        <v/>
      </c>
      <c r="AC53">
        <f>IF(Entradas_B!AD51="N/A",0,IF(Itens_B!$D51="risco",IF(Entradas_B!AD51=Itens_B!$E51,Itens_B!$C51,0),IF(Itens_B!$D51="mitigacao",IF(Entradas_B!AD51="Sim",-Itens_B!$C51,Itens_B!$C51),IF(Itens_B!$D51="evidencia",IF(Entradas_B!AD51="Sim",-Itens_B!$C51,0),0))))</f>
        <v/>
      </c>
      <c r="AD53">
        <f>IF(Entradas_B!AE51="N/A",0,IF(Itens_B!$D51="risco",IF(Entradas_B!AE51=Itens_B!$E51,Itens_B!$C51,0),IF(Itens_B!$D51="mitigacao",IF(Entradas_B!AE51="Sim",-Itens_B!$C51,Itens_B!$C51),IF(Itens_B!$D51="evidencia",IF(Entradas_B!AE51="Sim",-Itens_B!$C51,0),0))))</f>
        <v/>
      </c>
      <c r="AE53">
        <f>IF(Entradas_B!AF51="N/A",0,IF(Itens_B!$D51="risco",IF(Entradas_B!AF51=Itens_B!$E51,Itens_B!$C51,0),IF(Itens_B!$D51="mitigacao",IF(Entradas_B!AF51="Sim",-Itens_B!$C51,Itens_B!$C51),IF(Itens_B!$D51="evidencia",IF(Entradas_B!AF51="Sim",-Itens_B!$C51,0),0))))</f>
        <v/>
      </c>
      <c r="AF53">
        <f>IF(Entradas_B!AG51="N/A",0,IF(Itens_B!$D51="risco",IF(Entradas_B!AG51=Itens_B!$E51,Itens_B!$C51,0),IF(Itens_B!$D51="mitigacao",IF(Entradas_B!AG51="Sim",-Itens_B!$C51,Itens_B!$C51),IF(Itens_B!$D51="evidencia",IF(Entradas_B!AG51="Sim",-Itens_B!$C51,0),0))))</f>
        <v/>
      </c>
    </row>
    <row r="54">
      <c r="A54" t="inlineStr">
        <is>
          <t>P6.b.2</t>
        </is>
      </c>
      <c r="B54">
        <f>IF(Entradas_B!C52="N/A",0,IF(Itens_B!$D52="risco",IF(Entradas_B!C52=Itens_B!$E52,Itens_B!$C52,0),IF(Itens_B!$D52="mitigacao",IF(Entradas_B!C52="Sim",-Itens_B!$C52,Itens_B!$C52),IF(Itens_B!$D52="evidencia",IF(Entradas_B!C52="Sim",-Itens_B!$C52,0),0))))</f>
        <v/>
      </c>
      <c r="C54">
        <f>IF(Entradas_B!D52="N/A",0,IF(Itens_B!$D52="risco",IF(Entradas_B!D52=Itens_B!$E52,Itens_B!$C52,0),IF(Itens_B!$D52="mitigacao",IF(Entradas_B!D52="Sim",-Itens_B!$C52,Itens_B!$C52),IF(Itens_B!$D52="evidencia",IF(Entradas_B!D52="Sim",-Itens_B!$C52,0),0))))</f>
        <v/>
      </c>
      <c r="D54">
        <f>IF(Entradas_B!E52="N/A",0,IF(Itens_B!$D52="risco",IF(Entradas_B!E52=Itens_B!$E52,Itens_B!$C52,0),IF(Itens_B!$D52="mitigacao",IF(Entradas_B!E52="Sim",-Itens_B!$C52,Itens_B!$C52),IF(Itens_B!$D52="evidencia",IF(Entradas_B!E52="Sim",-Itens_B!$C52,0),0))))</f>
        <v/>
      </c>
      <c r="E54">
        <f>IF(Entradas_B!F52="N/A",0,IF(Itens_B!$D52="risco",IF(Entradas_B!F52=Itens_B!$E52,Itens_B!$C52,0),IF(Itens_B!$D52="mitigacao",IF(Entradas_B!F52="Sim",-Itens_B!$C52,Itens_B!$C52),IF(Itens_B!$D52="evidencia",IF(Entradas_B!F52="Sim",-Itens_B!$C52,0),0))))</f>
        <v/>
      </c>
      <c r="F54">
        <f>IF(Entradas_B!G52="N/A",0,IF(Itens_B!$D52="risco",IF(Entradas_B!G52=Itens_B!$E52,Itens_B!$C52,0),IF(Itens_B!$D52="mitigacao",IF(Entradas_B!G52="Sim",-Itens_B!$C52,Itens_B!$C52),IF(Itens_B!$D52="evidencia",IF(Entradas_B!G52="Sim",-Itens_B!$C52,0),0))))</f>
        <v/>
      </c>
      <c r="G54">
        <f>IF(Entradas_B!H52="N/A",0,IF(Itens_B!$D52="risco",IF(Entradas_B!H52=Itens_B!$E52,Itens_B!$C52,0),IF(Itens_B!$D52="mitigacao",IF(Entradas_B!H52="Sim",-Itens_B!$C52,Itens_B!$C52),IF(Itens_B!$D52="evidencia",IF(Entradas_B!H52="Sim",-Itens_B!$C52,0),0))))</f>
        <v/>
      </c>
      <c r="H54">
        <f>IF(Entradas_B!I52="N/A",0,IF(Itens_B!$D52="risco",IF(Entradas_B!I52=Itens_B!$E52,Itens_B!$C52,0),IF(Itens_B!$D52="mitigacao",IF(Entradas_B!I52="Sim",-Itens_B!$C52,Itens_B!$C52),IF(Itens_B!$D52="evidencia",IF(Entradas_B!I52="Sim",-Itens_B!$C52,0),0))))</f>
        <v/>
      </c>
      <c r="I54">
        <f>IF(Entradas_B!J52="N/A",0,IF(Itens_B!$D52="risco",IF(Entradas_B!J52=Itens_B!$E52,Itens_B!$C52,0),IF(Itens_B!$D52="mitigacao",IF(Entradas_B!J52="Sim",-Itens_B!$C52,Itens_B!$C52),IF(Itens_B!$D52="evidencia",IF(Entradas_B!J52="Sim",-Itens_B!$C52,0),0))))</f>
        <v/>
      </c>
      <c r="J54">
        <f>IF(Entradas_B!K52="N/A",0,IF(Itens_B!$D52="risco",IF(Entradas_B!K52=Itens_B!$E52,Itens_B!$C52,0),IF(Itens_B!$D52="mitigacao",IF(Entradas_B!K52="Sim",-Itens_B!$C52,Itens_B!$C52),IF(Itens_B!$D52="evidencia",IF(Entradas_B!K52="Sim",-Itens_B!$C52,0),0))))</f>
        <v/>
      </c>
      <c r="K54">
        <f>IF(Entradas_B!L52="N/A",0,IF(Itens_B!$D52="risco",IF(Entradas_B!L52=Itens_B!$E52,Itens_B!$C52,0),IF(Itens_B!$D52="mitigacao",IF(Entradas_B!L52="Sim",-Itens_B!$C52,Itens_B!$C52),IF(Itens_B!$D52="evidencia",IF(Entradas_B!L52="Sim",-Itens_B!$C52,0),0))))</f>
        <v/>
      </c>
      <c r="L54">
        <f>IF(Entradas_B!M52="N/A",0,IF(Itens_B!$D52="risco",IF(Entradas_B!M52=Itens_B!$E52,Itens_B!$C52,0),IF(Itens_B!$D52="mitigacao",IF(Entradas_B!M52="Sim",-Itens_B!$C52,Itens_B!$C52),IF(Itens_B!$D52="evidencia",IF(Entradas_B!M52="Sim",-Itens_B!$C52,0),0))))</f>
        <v/>
      </c>
      <c r="M54">
        <f>IF(Entradas_B!N52="N/A",0,IF(Itens_B!$D52="risco",IF(Entradas_B!N52=Itens_B!$E52,Itens_B!$C52,0),IF(Itens_B!$D52="mitigacao",IF(Entradas_B!N52="Sim",-Itens_B!$C52,Itens_B!$C52),IF(Itens_B!$D52="evidencia",IF(Entradas_B!N52="Sim",-Itens_B!$C52,0),0))))</f>
        <v/>
      </c>
      <c r="N54">
        <f>IF(Entradas_B!O52="N/A",0,IF(Itens_B!$D52="risco",IF(Entradas_B!O52=Itens_B!$E52,Itens_B!$C52,0),IF(Itens_B!$D52="mitigacao",IF(Entradas_B!O52="Sim",-Itens_B!$C52,Itens_B!$C52),IF(Itens_B!$D52="evidencia",IF(Entradas_B!O52="Sim",-Itens_B!$C52,0),0))))</f>
        <v/>
      </c>
      <c r="O54">
        <f>IF(Entradas_B!P52="N/A",0,IF(Itens_B!$D52="risco",IF(Entradas_B!P52=Itens_B!$E52,Itens_B!$C52,0),IF(Itens_B!$D52="mitigacao",IF(Entradas_B!P52="Sim",-Itens_B!$C52,Itens_B!$C52),IF(Itens_B!$D52="evidencia",IF(Entradas_B!P52="Sim",-Itens_B!$C52,0),0))))</f>
        <v/>
      </c>
      <c r="P54">
        <f>IF(Entradas_B!Q52="N/A",0,IF(Itens_B!$D52="risco",IF(Entradas_B!Q52=Itens_B!$E52,Itens_B!$C52,0),IF(Itens_B!$D52="mitigacao",IF(Entradas_B!Q52="Sim",-Itens_B!$C52,Itens_B!$C52),IF(Itens_B!$D52="evidencia",IF(Entradas_B!Q52="Sim",-Itens_B!$C52,0),0))))</f>
        <v/>
      </c>
      <c r="Q54">
        <f>IF(Entradas_B!R52="N/A",0,IF(Itens_B!$D52="risco",IF(Entradas_B!R52=Itens_B!$E52,Itens_B!$C52,0),IF(Itens_B!$D52="mitigacao",IF(Entradas_B!R52="Sim",-Itens_B!$C52,Itens_B!$C52),IF(Itens_B!$D52="evidencia",IF(Entradas_B!R52="Sim",-Itens_B!$C52,0),0))))</f>
        <v/>
      </c>
      <c r="R54">
        <f>IF(Entradas_B!S52="N/A",0,IF(Itens_B!$D52="risco",IF(Entradas_B!S52=Itens_B!$E52,Itens_B!$C52,0),IF(Itens_B!$D52="mitigacao",IF(Entradas_B!S52="Sim",-Itens_B!$C52,Itens_B!$C52),IF(Itens_B!$D52="evidencia",IF(Entradas_B!S52="Sim",-Itens_B!$C52,0),0))))</f>
        <v/>
      </c>
      <c r="S54">
        <f>IF(Entradas_B!T52="N/A",0,IF(Itens_B!$D52="risco",IF(Entradas_B!T52=Itens_B!$E52,Itens_B!$C52,0),IF(Itens_B!$D52="mitigacao",IF(Entradas_B!T52="Sim",-Itens_B!$C52,Itens_B!$C52),IF(Itens_B!$D52="evidencia",IF(Entradas_B!T52="Sim",-Itens_B!$C52,0),0))))</f>
        <v/>
      </c>
      <c r="T54">
        <f>IF(Entradas_B!U52="N/A",0,IF(Itens_B!$D52="risco",IF(Entradas_B!U52=Itens_B!$E52,Itens_B!$C52,0),IF(Itens_B!$D52="mitigacao",IF(Entradas_B!U52="Sim",-Itens_B!$C52,Itens_B!$C52),IF(Itens_B!$D52="evidencia",IF(Entradas_B!U52="Sim",-Itens_B!$C52,0),0))))</f>
        <v/>
      </c>
      <c r="U54">
        <f>IF(Entradas_B!V52="N/A",0,IF(Itens_B!$D52="risco",IF(Entradas_B!V52=Itens_B!$E52,Itens_B!$C52,0),IF(Itens_B!$D52="mitigacao",IF(Entradas_B!V52="Sim",-Itens_B!$C52,Itens_B!$C52),IF(Itens_B!$D52="evidencia",IF(Entradas_B!V52="Sim",-Itens_B!$C52,0),0))))</f>
        <v/>
      </c>
      <c r="V54">
        <f>IF(Entradas_B!W52="N/A",0,IF(Itens_B!$D52="risco",IF(Entradas_B!W52=Itens_B!$E52,Itens_B!$C52,0),IF(Itens_B!$D52="mitigacao",IF(Entradas_B!W52="Sim",-Itens_B!$C52,Itens_B!$C52),IF(Itens_B!$D52="evidencia",IF(Entradas_B!W52="Sim",-Itens_B!$C52,0),0))))</f>
        <v/>
      </c>
      <c r="W54">
        <f>IF(Entradas_B!X52="N/A",0,IF(Itens_B!$D52="risco",IF(Entradas_B!X52=Itens_B!$E52,Itens_B!$C52,0),IF(Itens_B!$D52="mitigacao",IF(Entradas_B!X52="Sim",-Itens_B!$C52,Itens_B!$C52),IF(Itens_B!$D52="evidencia",IF(Entradas_B!X52="Sim",-Itens_B!$C52,0),0))))</f>
        <v/>
      </c>
      <c r="X54">
        <f>IF(Entradas_B!Y52="N/A",0,IF(Itens_B!$D52="risco",IF(Entradas_B!Y52=Itens_B!$E52,Itens_B!$C52,0),IF(Itens_B!$D52="mitigacao",IF(Entradas_B!Y52="Sim",-Itens_B!$C52,Itens_B!$C52),IF(Itens_B!$D52="evidencia",IF(Entradas_B!Y52="Sim",-Itens_B!$C52,0),0))))</f>
        <v/>
      </c>
      <c r="Y54">
        <f>IF(Entradas_B!Z52="N/A",0,IF(Itens_B!$D52="risco",IF(Entradas_B!Z52=Itens_B!$E52,Itens_B!$C52,0),IF(Itens_B!$D52="mitigacao",IF(Entradas_B!Z52="Sim",-Itens_B!$C52,Itens_B!$C52),IF(Itens_B!$D52="evidencia",IF(Entradas_B!Z52="Sim",-Itens_B!$C52,0),0))))</f>
        <v/>
      </c>
      <c r="Z54">
        <f>IF(Entradas_B!AA52="N/A",0,IF(Itens_B!$D52="risco",IF(Entradas_B!AA52=Itens_B!$E52,Itens_B!$C52,0),IF(Itens_B!$D52="mitigacao",IF(Entradas_B!AA52="Sim",-Itens_B!$C52,Itens_B!$C52),IF(Itens_B!$D52="evidencia",IF(Entradas_B!AA52="Sim",-Itens_B!$C52,0),0))))</f>
        <v/>
      </c>
      <c r="AA54">
        <f>IF(Entradas_B!AB52="N/A",0,IF(Itens_B!$D52="risco",IF(Entradas_B!AB52=Itens_B!$E52,Itens_B!$C52,0),IF(Itens_B!$D52="mitigacao",IF(Entradas_B!AB52="Sim",-Itens_B!$C52,Itens_B!$C52),IF(Itens_B!$D52="evidencia",IF(Entradas_B!AB52="Sim",-Itens_B!$C52,0),0))))</f>
        <v/>
      </c>
      <c r="AB54">
        <f>IF(Entradas_B!AC52="N/A",0,IF(Itens_B!$D52="risco",IF(Entradas_B!AC52=Itens_B!$E52,Itens_B!$C52,0),IF(Itens_B!$D52="mitigacao",IF(Entradas_B!AC52="Sim",-Itens_B!$C52,Itens_B!$C52),IF(Itens_B!$D52="evidencia",IF(Entradas_B!AC52="Sim",-Itens_B!$C52,0),0))))</f>
        <v/>
      </c>
      <c r="AC54">
        <f>IF(Entradas_B!AD52="N/A",0,IF(Itens_B!$D52="risco",IF(Entradas_B!AD52=Itens_B!$E52,Itens_B!$C52,0),IF(Itens_B!$D52="mitigacao",IF(Entradas_B!AD52="Sim",-Itens_B!$C52,Itens_B!$C52),IF(Itens_B!$D52="evidencia",IF(Entradas_B!AD52="Sim",-Itens_B!$C52,0),0))))</f>
        <v/>
      </c>
      <c r="AD54">
        <f>IF(Entradas_B!AE52="N/A",0,IF(Itens_B!$D52="risco",IF(Entradas_B!AE52=Itens_B!$E52,Itens_B!$C52,0),IF(Itens_B!$D52="mitigacao",IF(Entradas_B!AE52="Sim",-Itens_B!$C52,Itens_B!$C52),IF(Itens_B!$D52="evidencia",IF(Entradas_B!AE52="Sim",-Itens_B!$C52,0),0))))</f>
        <v/>
      </c>
      <c r="AE54">
        <f>IF(Entradas_B!AF52="N/A",0,IF(Itens_B!$D52="risco",IF(Entradas_B!AF52=Itens_B!$E52,Itens_B!$C52,0),IF(Itens_B!$D52="mitigacao",IF(Entradas_B!AF52="Sim",-Itens_B!$C52,Itens_B!$C52),IF(Itens_B!$D52="evidencia",IF(Entradas_B!AF52="Sim",-Itens_B!$C52,0),0))))</f>
        <v/>
      </c>
      <c r="AF54">
        <f>IF(Entradas_B!AG52="N/A",0,IF(Itens_B!$D52="risco",IF(Entradas_B!AG52=Itens_B!$E52,Itens_B!$C52,0),IF(Itens_B!$D52="mitigacao",IF(Entradas_B!AG52="Sim",-Itens_B!$C52,Itens_B!$C52),IF(Itens_B!$D52="evidencia",IF(Entradas_B!AG52="Sim",-Itens_B!$C52,0),0))))</f>
        <v/>
      </c>
    </row>
    <row r="55">
      <c r="A55" t="inlineStr">
        <is>
          <t>P6.b.3</t>
        </is>
      </c>
      <c r="B55">
        <f>IF(Entradas_B!C53="N/A",0,IF(Itens_B!$D53="risco",IF(Entradas_B!C53=Itens_B!$E53,Itens_B!$C53,0),IF(Itens_B!$D53="mitigacao",IF(Entradas_B!C53="Sim",-Itens_B!$C53,Itens_B!$C53),IF(Itens_B!$D53="evidencia",IF(Entradas_B!C53="Sim",-Itens_B!$C53,0),0))))</f>
        <v/>
      </c>
      <c r="C55">
        <f>IF(Entradas_B!D53="N/A",0,IF(Itens_B!$D53="risco",IF(Entradas_B!D53=Itens_B!$E53,Itens_B!$C53,0),IF(Itens_B!$D53="mitigacao",IF(Entradas_B!D53="Sim",-Itens_B!$C53,Itens_B!$C53),IF(Itens_B!$D53="evidencia",IF(Entradas_B!D53="Sim",-Itens_B!$C53,0),0))))</f>
        <v/>
      </c>
      <c r="D55">
        <f>IF(Entradas_B!E53="N/A",0,IF(Itens_B!$D53="risco",IF(Entradas_B!E53=Itens_B!$E53,Itens_B!$C53,0),IF(Itens_B!$D53="mitigacao",IF(Entradas_B!E53="Sim",-Itens_B!$C53,Itens_B!$C53),IF(Itens_B!$D53="evidencia",IF(Entradas_B!E53="Sim",-Itens_B!$C53,0),0))))</f>
        <v/>
      </c>
      <c r="E55">
        <f>IF(Entradas_B!F53="N/A",0,IF(Itens_B!$D53="risco",IF(Entradas_B!F53=Itens_B!$E53,Itens_B!$C53,0),IF(Itens_B!$D53="mitigacao",IF(Entradas_B!F53="Sim",-Itens_B!$C53,Itens_B!$C53),IF(Itens_B!$D53="evidencia",IF(Entradas_B!F53="Sim",-Itens_B!$C53,0),0))))</f>
        <v/>
      </c>
      <c r="F55">
        <f>IF(Entradas_B!G53="N/A",0,IF(Itens_B!$D53="risco",IF(Entradas_B!G53=Itens_B!$E53,Itens_B!$C53,0),IF(Itens_B!$D53="mitigacao",IF(Entradas_B!G53="Sim",-Itens_B!$C53,Itens_B!$C53),IF(Itens_B!$D53="evidencia",IF(Entradas_B!G53="Sim",-Itens_B!$C53,0),0))))</f>
        <v/>
      </c>
      <c r="G55">
        <f>IF(Entradas_B!H53="N/A",0,IF(Itens_B!$D53="risco",IF(Entradas_B!H53=Itens_B!$E53,Itens_B!$C53,0),IF(Itens_B!$D53="mitigacao",IF(Entradas_B!H53="Sim",-Itens_B!$C53,Itens_B!$C53),IF(Itens_B!$D53="evidencia",IF(Entradas_B!H53="Sim",-Itens_B!$C53,0),0))))</f>
        <v/>
      </c>
      <c r="H55">
        <f>IF(Entradas_B!I53="N/A",0,IF(Itens_B!$D53="risco",IF(Entradas_B!I53=Itens_B!$E53,Itens_B!$C53,0),IF(Itens_B!$D53="mitigacao",IF(Entradas_B!I53="Sim",-Itens_B!$C53,Itens_B!$C53),IF(Itens_B!$D53="evidencia",IF(Entradas_B!I53="Sim",-Itens_B!$C53,0),0))))</f>
        <v/>
      </c>
      <c r="I55">
        <f>IF(Entradas_B!J53="N/A",0,IF(Itens_B!$D53="risco",IF(Entradas_B!J53=Itens_B!$E53,Itens_B!$C53,0),IF(Itens_B!$D53="mitigacao",IF(Entradas_B!J53="Sim",-Itens_B!$C53,Itens_B!$C53),IF(Itens_B!$D53="evidencia",IF(Entradas_B!J53="Sim",-Itens_B!$C53,0),0))))</f>
        <v/>
      </c>
      <c r="J55">
        <f>IF(Entradas_B!K53="N/A",0,IF(Itens_B!$D53="risco",IF(Entradas_B!K53=Itens_B!$E53,Itens_B!$C53,0),IF(Itens_B!$D53="mitigacao",IF(Entradas_B!K53="Sim",-Itens_B!$C53,Itens_B!$C53),IF(Itens_B!$D53="evidencia",IF(Entradas_B!K53="Sim",-Itens_B!$C53,0),0))))</f>
        <v/>
      </c>
      <c r="K55">
        <f>IF(Entradas_B!L53="N/A",0,IF(Itens_B!$D53="risco",IF(Entradas_B!L53=Itens_B!$E53,Itens_B!$C53,0),IF(Itens_B!$D53="mitigacao",IF(Entradas_B!L53="Sim",-Itens_B!$C53,Itens_B!$C53),IF(Itens_B!$D53="evidencia",IF(Entradas_B!L53="Sim",-Itens_B!$C53,0),0))))</f>
        <v/>
      </c>
      <c r="L55">
        <f>IF(Entradas_B!M53="N/A",0,IF(Itens_B!$D53="risco",IF(Entradas_B!M53=Itens_B!$E53,Itens_B!$C53,0),IF(Itens_B!$D53="mitigacao",IF(Entradas_B!M53="Sim",-Itens_B!$C53,Itens_B!$C53),IF(Itens_B!$D53="evidencia",IF(Entradas_B!M53="Sim",-Itens_B!$C53,0),0))))</f>
        <v/>
      </c>
      <c r="M55">
        <f>IF(Entradas_B!N53="N/A",0,IF(Itens_B!$D53="risco",IF(Entradas_B!N53=Itens_B!$E53,Itens_B!$C53,0),IF(Itens_B!$D53="mitigacao",IF(Entradas_B!N53="Sim",-Itens_B!$C53,Itens_B!$C53),IF(Itens_B!$D53="evidencia",IF(Entradas_B!N53="Sim",-Itens_B!$C53,0),0))))</f>
        <v/>
      </c>
      <c r="N55">
        <f>IF(Entradas_B!O53="N/A",0,IF(Itens_B!$D53="risco",IF(Entradas_B!O53=Itens_B!$E53,Itens_B!$C53,0),IF(Itens_B!$D53="mitigacao",IF(Entradas_B!O53="Sim",-Itens_B!$C53,Itens_B!$C53),IF(Itens_B!$D53="evidencia",IF(Entradas_B!O53="Sim",-Itens_B!$C53,0),0))))</f>
        <v/>
      </c>
      <c r="O55">
        <f>IF(Entradas_B!P53="N/A",0,IF(Itens_B!$D53="risco",IF(Entradas_B!P53=Itens_B!$E53,Itens_B!$C53,0),IF(Itens_B!$D53="mitigacao",IF(Entradas_B!P53="Sim",-Itens_B!$C53,Itens_B!$C53),IF(Itens_B!$D53="evidencia",IF(Entradas_B!P53="Sim",-Itens_B!$C53,0),0))))</f>
        <v/>
      </c>
      <c r="P55">
        <f>IF(Entradas_B!Q53="N/A",0,IF(Itens_B!$D53="risco",IF(Entradas_B!Q53=Itens_B!$E53,Itens_B!$C53,0),IF(Itens_B!$D53="mitigacao",IF(Entradas_B!Q53="Sim",-Itens_B!$C53,Itens_B!$C53),IF(Itens_B!$D53="evidencia",IF(Entradas_B!Q53="Sim",-Itens_B!$C53,0),0))))</f>
        <v/>
      </c>
      <c r="Q55">
        <f>IF(Entradas_B!R53="N/A",0,IF(Itens_B!$D53="risco",IF(Entradas_B!R53=Itens_B!$E53,Itens_B!$C53,0),IF(Itens_B!$D53="mitigacao",IF(Entradas_B!R53="Sim",-Itens_B!$C53,Itens_B!$C53),IF(Itens_B!$D53="evidencia",IF(Entradas_B!R53="Sim",-Itens_B!$C53,0),0))))</f>
        <v/>
      </c>
      <c r="R55">
        <f>IF(Entradas_B!S53="N/A",0,IF(Itens_B!$D53="risco",IF(Entradas_B!S53=Itens_B!$E53,Itens_B!$C53,0),IF(Itens_B!$D53="mitigacao",IF(Entradas_B!S53="Sim",-Itens_B!$C53,Itens_B!$C53),IF(Itens_B!$D53="evidencia",IF(Entradas_B!S53="Sim",-Itens_B!$C53,0),0))))</f>
        <v/>
      </c>
      <c r="S55">
        <f>IF(Entradas_B!T53="N/A",0,IF(Itens_B!$D53="risco",IF(Entradas_B!T53=Itens_B!$E53,Itens_B!$C53,0),IF(Itens_B!$D53="mitigacao",IF(Entradas_B!T53="Sim",-Itens_B!$C53,Itens_B!$C53),IF(Itens_B!$D53="evidencia",IF(Entradas_B!T53="Sim",-Itens_B!$C53,0),0))))</f>
        <v/>
      </c>
      <c r="T55">
        <f>IF(Entradas_B!U53="N/A",0,IF(Itens_B!$D53="risco",IF(Entradas_B!U53=Itens_B!$E53,Itens_B!$C53,0),IF(Itens_B!$D53="mitigacao",IF(Entradas_B!U53="Sim",-Itens_B!$C53,Itens_B!$C53),IF(Itens_B!$D53="evidencia",IF(Entradas_B!U53="Sim",-Itens_B!$C53,0),0))))</f>
        <v/>
      </c>
      <c r="U55">
        <f>IF(Entradas_B!V53="N/A",0,IF(Itens_B!$D53="risco",IF(Entradas_B!V53=Itens_B!$E53,Itens_B!$C53,0),IF(Itens_B!$D53="mitigacao",IF(Entradas_B!V53="Sim",-Itens_B!$C53,Itens_B!$C53),IF(Itens_B!$D53="evidencia",IF(Entradas_B!V53="Sim",-Itens_B!$C53,0),0))))</f>
        <v/>
      </c>
      <c r="V55">
        <f>IF(Entradas_B!W53="N/A",0,IF(Itens_B!$D53="risco",IF(Entradas_B!W53=Itens_B!$E53,Itens_B!$C53,0),IF(Itens_B!$D53="mitigacao",IF(Entradas_B!W53="Sim",-Itens_B!$C53,Itens_B!$C53),IF(Itens_B!$D53="evidencia",IF(Entradas_B!W53="Sim",-Itens_B!$C53,0),0))))</f>
        <v/>
      </c>
      <c r="W55">
        <f>IF(Entradas_B!X53="N/A",0,IF(Itens_B!$D53="risco",IF(Entradas_B!X53=Itens_B!$E53,Itens_B!$C53,0),IF(Itens_B!$D53="mitigacao",IF(Entradas_B!X53="Sim",-Itens_B!$C53,Itens_B!$C53),IF(Itens_B!$D53="evidencia",IF(Entradas_B!X53="Sim",-Itens_B!$C53,0),0))))</f>
        <v/>
      </c>
      <c r="X55">
        <f>IF(Entradas_B!Y53="N/A",0,IF(Itens_B!$D53="risco",IF(Entradas_B!Y53=Itens_B!$E53,Itens_B!$C53,0),IF(Itens_B!$D53="mitigacao",IF(Entradas_B!Y53="Sim",-Itens_B!$C53,Itens_B!$C53),IF(Itens_B!$D53="evidencia",IF(Entradas_B!Y53="Sim",-Itens_B!$C53,0),0))))</f>
        <v/>
      </c>
      <c r="Y55">
        <f>IF(Entradas_B!Z53="N/A",0,IF(Itens_B!$D53="risco",IF(Entradas_B!Z53=Itens_B!$E53,Itens_B!$C53,0),IF(Itens_B!$D53="mitigacao",IF(Entradas_B!Z53="Sim",-Itens_B!$C53,Itens_B!$C53),IF(Itens_B!$D53="evidencia",IF(Entradas_B!Z53="Sim",-Itens_B!$C53,0),0))))</f>
        <v/>
      </c>
      <c r="Z55">
        <f>IF(Entradas_B!AA53="N/A",0,IF(Itens_B!$D53="risco",IF(Entradas_B!AA53=Itens_B!$E53,Itens_B!$C53,0),IF(Itens_B!$D53="mitigacao",IF(Entradas_B!AA53="Sim",-Itens_B!$C53,Itens_B!$C53),IF(Itens_B!$D53="evidencia",IF(Entradas_B!AA53="Sim",-Itens_B!$C53,0),0))))</f>
        <v/>
      </c>
      <c r="AA55">
        <f>IF(Entradas_B!AB53="N/A",0,IF(Itens_B!$D53="risco",IF(Entradas_B!AB53=Itens_B!$E53,Itens_B!$C53,0),IF(Itens_B!$D53="mitigacao",IF(Entradas_B!AB53="Sim",-Itens_B!$C53,Itens_B!$C53),IF(Itens_B!$D53="evidencia",IF(Entradas_B!AB53="Sim",-Itens_B!$C53,0),0))))</f>
        <v/>
      </c>
      <c r="AB55">
        <f>IF(Entradas_B!AC53="N/A",0,IF(Itens_B!$D53="risco",IF(Entradas_B!AC53=Itens_B!$E53,Itens_B!$C53,0),IF(Itens_B!$D53="mitigacao",IF(Entradas_B!AC53="Sim",-Itens_B!$C53,Itens_B!$C53),IF(Itens_B!$D53="evidencia",IF(Entradas_B!AC53="Sim",-Itens_B!$C53,0),0))))</f>
        <v/>
      </c>
      <c r="AC55">
        <f>IF(Entradas_B!AD53="N/A",0,IF(Itens_B!$D53="risco",IF(Entradas_B!AD53=Itens_B!$E53,Itens_B!$C53,0),IF(Itens_B!$D53="mitigacao",IF(Entradas_B!AD53="Sim",-Itens_B!$C53,Itens_B!$C53),IF(Itens_B!$D53="evidencia",IF(Entradas_B!AD53="Sim",-Itens_B!$C53,0),0))))</f>
        <v/>
      </c>
      <c r="AD55">
        <f>IF(Entradas_B!AE53="N/A",0,IF(Itens_B!$D53="risco",IF(Entradas_B!AE53=Itens_B!$E53,Itens_B!$C53,0),IF(Itens_B!$D53="mitigacao",IF(Entradas_B!AE53="Sim",-Itens_B!$C53,Itens_B!$C53),IF(Itens_B!$D53="evidencia",IF(Entradas_B!AE53="Sim",-Itens_B!$C53,0),0))))</f>
        <v/>
      </c>
      <c r="AE55">
        <f>IF(Entradas_B!AF53="N/A",0,IF(Itens_B!$D53="risco",IF(Entradas_B!AF53=Itens_B!$E53,Itens_B!$C53,0),IF(Itens_B!$D53="mitigacao",IF(Entradas_B!AF53="Sim",-Itens_B!$C53,Itens_B!$C53),IF(Itens_B!$D53="evidencia",IF(Entradas_B!AF53="Sim",-Itens_B!$C53,0),0))))</f>
        <v/>
      </c>
      <c r="AF55">
        <f>IF(Entradas_B!AG53="N/A",0,IF(Itens_B!$D53="risco",IF(Entradas_B!AG53=Itens_B!$E53,Itens_B!$C53,0),IF(Itens_B!$D53="mitigacao",IF(Entradas_B!AG53="Sim",-Itens_B!$C53,Itens_B!$C53),IF(Itens_B!$D53="evidencia",IF(Entradas_B!AG53="Sim",-Itens_B!$C53,0),0))))</f>
        <v/>
      </c>
    </row>
    <row r="56">
      <c r="A56" t="inlineStr">
        <is>
          <t>P6.b.4</t>
        </is>
      </c>
      <c r="B56">
        <f>IF(Entradas_B!C54="N/A",0,IF(Itens_B!$D54="risco",IF(Entradas_B!C54=Itens_B!$E54,Itens_B!$C54,0),IF(Itens_B!$D54="mitigacao",IF(Entradas_B!C54="Sim",-Itens_B!$C54,Itens_B!$C54),IF(Itens_B!$D54="evidencia",IF(Entradas_B!C54="Sim",-Itens_B!$C54,0),0))))</f>
        <v/>
      </c>
      <c r="C56">
        <f>IF(Entradas_B!D54="N/A",0,IF(Itens_B!$D54="risco",IF(Entradas_B!D54=Itens_B!$E54,Itens_B!$C54,0),IF(Itens_B!$D54="mitigacao",IF(Entradas_B!D54="Sim",-Itens_B!$C54,Itens_B!$C54),IF(Itens_B!$D54="evidencia",IF(Entradas_B!D54="Sim",-Itens_B!$C54,0),0))))</f>
        <v/>
      </c>
      <c r="D56">
        <f>IF(Entradas_B!E54="N/A",0,IF(Itens_B!$D54="risco",IF(Entradas_B!E54=Itens_B!$E54,Itens_B!$C54,0),IF(Itens_B!$D54="mitigacao",IF(Entradas_B!E54="Sim",-Itens_B!$C54,Itens_B!$C54),IF(Itens_B!$D54="evidencia",IF(Entradas_B!E54="Sim",-Itens_B!$C54,0),0))))</f>
        <v/>
      </c>
      <c r="E56">
        <f>IF(Entradas_B!F54="N/A",0,IF(Itens_B!$D54="risco",IF(Entradas_B!F54=Itens_B!$E54,Itens_B!$C54,0),IF(Itens_B!$D54="mitigacao",IF(Entradas_B!F54="Sim",-Itens_B!$C54,Itens_B!$C54),IF(Itens_B!$D54="evidencia",IF(Entradas_B!F54="Sim",-Itens_B!$C54,0),0))))</f>
        <v/>
      </c>
      <c r="F56">
        <f>IF(Entradas_B!G54="N/A",0,IF(Itens_B!$D54="risco",IF(Entradas_B!G54=Itens_B!$E54,Itens_B!$C54,0),IF(Itens_B!$D54="mitigacao",IF(Entradas_B!G54="Sim",-Itens_B!$C54,Itens_B!$C54),IF(Itens_B!$D54="evidencia",IF(Entradas_B!G54="Sim",-Itens_B!$C54,0),0))))</f>
        <v/>
      </c>
      <c r="G56">
        <f>IF(Entradas_B!H54="N/A",0,IF(Itens_B!$D54="risco",IF(Entradas_B!H54=Itens_B!$E54,Itens_B!$C54,0),IF(Itens_B!$D54="mitigacao",IF(Entradas_B!H54="Sim",-Itens_B!$C54,Itens_B!$C54),IF(Itens_B!$D54="evidencia",IF(Entradas_B!H54="Sim",-Itens_B!$C54,0),0))))</f>
        <v/>
      </c>
      <c r="H56">
        <f>IF(Entradas_B!I54="N/A",0,IF(Itens_B!$D54="risco",IF(Entradas_B!I54=Itens_B!$E54,Itens_B!$C54,0),IF(Itens_B!$D54="mitigacao",IF(Entradas_B!I54="Sim",-Itens_B!$C54,Itens_B!$C54),IF(Itens_B!$D54="evidencia",IF(Entradas_B!I54="Sim",-Itens_B!$C54,0),0))))</f>
        <v/>
      </c>
      <c r="I56">
        <f>IF(Entradas_B!J54="N/A",0,IF(Itens_B!$D54="risco",IF(Entradas_B!J54=Itens_B!$E54,Itens_B!$C54,0),IF(Itens_B!$D54="mitigacao",IF(Entradas_B!J54="Sim",-Itens_B!$C54,Itens_B!$C54),IF(Itens_B!$D54="evidencia",IF(Entradas_B!J54="Sim",-Itens_B!$C54,0),0))))</f>
        <v/>
      </c>
      <c r="J56">
        <f>IF(Entradas_B!K54="N/A",0,IF(Itens_B!$D54="risco",IF(Entradas_B!K54=Itens_B!$E54,Itens_B!$C54,0),IF(Itens_B!$D54="mitigacao",IF(Entradas_B!K54="Sim",-Itens_B!$C54,Itens_B!$C54),IF(Itens_B!$D54="evidencia",IF(Entradas_B!K54="Sim",-Itens_B!$C54,0),0))))</f>
        <v/>
      </c>
      <c r="K56">
        <f>IF(Entradas_B!L54="N/A",0,IF(Itens_B!$D54="risco",IF(Entradas_B!L54=Itens_B!$E54,Itens_B!$C54,0),IF(Itens_B!$D54="mitigacao",IF(Entradas_B!L54="Sim",-Itens_B!$C54,Itens_B!$C54),IF(Itens_B!$D54="evidencia",IF(Entradas_B!L54="Sim",-Itens_B!$C54,0),0))))</f>
        <v/>
      </c>
      <c r="L56">
        <f>IF(Entradas_B!M54="N/A",0,IF(Itens_B!$D54="risco",IF(Entradas_B!M54=Itens_B!$E54,Itens_B!$C54,0),IF(Itens_B!$D54="mitigacao",IF(Entradas_B!M54="Sim",-Itens_B!$C54,Itens_B!$C54),IF(Itens_B!$D54="evidencia",IF(Entradas_B!M54="Sim",-Itens_B!$C54,0),0))))</f>
        <v/>
      </c>
      <c r="M56">
        <f>IF(Entradas_B!N54="N/A",0,IF(Itens_B!$D54="risco",IF(Entradas_B!N54=Itens_B!$E54,Itens_B!$C54,0),IF(Itens_B!$D54="mitigacao",IF(Entradas_B!N54="Sim",-Itens_B!$C54,Itens_B!$C54),IF(Itens_B!$D54="evidencia",IF(Entradas_B!N54="Sim",-Itens_B!$C54,0),0))))</f>
        <v/>
      </c>
      <c r="N56">
        <f>IF(Entradas_B!O54="N/A",0,IF(Itens_B!$D54="risco",IF(Entradas_B!O54=Itens_B!$E54,Itens_B!$C54,0),IF(Itens_B!$D54="mitigacao",IF(Entradas_B!O54="Sim",-Itens_B!$C54,Itens_B!$C54),IF(Itens_B!$D54="evidencia",IF(Entradas_B!O54="Sim",-Itens_B!$C54,0),0))))</f>
        <v/>
      </c>
      <c r="O56">
        <f>IF(Entradas_B!P54="N/A",0,IF(Itens_B!$D54="risco",IF(Entradas_B!P54=Itens_B!$E54,Itens_B!$C54,0),IF(Itens_B!$D54="mitigacao",IF(Entradas_B!P54="Sim",-Itens_B!$C54,Itens_B!$C54),IF(Itens_B!$D54="evidencia",IF(Entradas_B!P54="Sim",-Itens_B!$C54,0),0))))</f>
        <v/>
      </c>
      <c r="P56">
        <f>IF(Entradas_B!Q54="N/A",0,IF(Itens_B!$D54="risco",IF(Entradas_B!Q54=Itens_B!$E54,Itens_B!$C54,0),IF(Itens_B!$D54="mitigacao",IF(Entradas_B!Q54="Sim",-Itens_B!$C54,Itens_B!$C54),IF(Itens_B!$D54="evidencia",IF(Entradas_B!Q54="Sim",-Itens_B!$C54,0),0))))</f>
        <v/>
      </c>
      <c r="Q56">
        <f>IF(Entradas_B!R54="N/A",0,IF(Itens_B!$D54="risco",IF(Entradas_B!R54=Itens_B!$E54,Itens_B!$C54,0),IF(Itens_B!$D54="mitigacao",IF(Entradas_B!R54="Sim",-Itens_B!$C54,Itens_B!$C54),IF(Itens_B!$D54="evidencia",IF(Entradas_B!R54="Sim",-Itens_B!$C54,0),0))))</f>
        <v/>
      </c>
      <c r="R56">
        <f>IF(Entradas_B!S54="N/A",0,IF(Itens_B!$D54="risco",IF(Entradas_B!S54=Itens_B!$E54,Itens_B!$C54,0),IF(Itens_B!$D54="mitigacao",IF(Entradas_B!S54="Sim",-Itens_B!$C54,Itens_B!$C54),IF(Itens_B!$D54="evidencia",IF(Entradas_B!S54="Sim",-Itens_B!$C54,0),0))))</f>
        <v/>
      </c>
      <c r="S56">
        <f>IF(Entradas_B!T54="N/A",0,IF(Itens_B!$D54="risco",IF(Entradas_B!T54=Itens_B!$E54,Itens_B!$C54,0),IF(Itens_B!$D54="mitigacao",IF(Entradas_B!T54="Sim",-Itens_B!$C54,Itens_B!$C54),IF(Itens_B!$D54="evidencia",IF(Entradas_B!T54="Sim",-Itens_B!$C54,0),0))))</f>
        <v/>
      </c>
      <c r="T56">
        <f>IF(Entradas_B!U54="N/A",0,IF(Itens_B!$D54="risco",IF(Entradas_B!U54=Itens_B!$E54,Itens_B!$C54,0),IF(Itens_B!$D54="mitigacao",IF(Entradas_B!U54="Sim",-Itens_B!$C54,Itens_B!$C54),IF(Itens_B!$D54="evidencia",IF(Entradas_B!U54="Sim",-Itens_B!$C54,0),0))))</f>
        <v/>
      </c>
      <c r="U56">
        <f>IF(Entradas_B!V54="N/A",0,IF(Itens_B!$D54="risco",IF(Entradas_B!V54=Itens_B!$E54,Itens_B!$C54,0),IF(Itens_B!$D54="mitigacao",IF(Entradas_B!V54="Sim",-Itens_B!$C54,Itens_B!$C54),IF(Itens_B!$D54="evidencia",IF(Entradas_B!V54="Sim",-Itens_B!$C54,0),0))))</f>
        <v/>
      </c>
      <c r="V56">
        <f>IF(Entradas_B!W54="N/A",0,IF(Itens_B!$D54="risco",IF(Entradas_B!W54=Itens_B!$E54,Itens_B!$C54,0),IF(Itens_B!$D54="mitigacao",IF(Entradas_B!W54="Sim",-Itens_B!$C54,Itens_B!$C54),IF(Itens_B!$D54="evidencia",IF(Entradas_B!W54="Sim",-Itens_B!$C54,0),0))))</f>
        <v/>
      </c>
      <c r="W56">
        <f>IF(Entradas_B!X54="N/A",0,IF(Itens_B!$D54="risco",IF(Entradas_B!X54=Itens_B!$E54,Itens_B!$C54,0),IF(Itens_B!$D54="mitigacao",IF(Entradas_B!X54="Sim",-Itens_B!$C54,Itens_B!$C54),IF(Itens_B!$D54="evidencia",IF(Entradas_B!X54="Sim",-Itens_B!$C54,0),0))))</f>
        <v/>
      </c>
      <c r="X56">
        <f>IF(Entradas_B!Y54="N/A",0,IF(Itens_B!$D54="risco",IF(Entradas_B!Y54=Itens_B!$E54,Itens_B!$C54,0),IF(Itens_B!$D54="mitigacao",IF(Entradas_B!Y54="Sim",-Itens_B!$C54,Itens_B!$C54),IF(Itens_B!$D54="evidencia",IF(Entradas_B!Y54="Sim",-Itens_B!$C54,0),0))))</f>
        <v/>
      </c>
      <c r="Y56">
        <f>IF(Entradas_B!Z54="N/A",0,IF(Itens_B!$D54="risco",IF(Entradas_B!Z54=Itens_B!$E54,Itens_B!$C54,0),IF(Itens_B!$D54="mitigacao",IF(Entradas_B!Z54="Sim",-Itens_B!$C54,Itens_B!$C54),IF(Itens_B!$D54="evidencia",IF(Entradas_B!Z54="Sim",-Itens_B!$C54,0),0))))</f>
        <v/>
      </c>
      <c r="Z56">
        <f>IF(Entradas_B!AA54="N/A",0,IF(Itens_B!$D54="risco",IF(Entradas_B!AA54=Itens_B!$E54,Itens_B!$C54,0),IF(Itens_B!$D54="mitigacao",IF(Entradas_B!AA54="Sim",-Itens_B!$C54,Itens_B!$C54),IF(Itens_B!$D54="evidencia",IF(Entradas_B!AA54="Sim",-Itens_B!$C54,0),0))))</f>
        <v/>
      </c>
      <c r="AA56">
        <f>IF(Entradas_B!AB54="N/A",0,IF(Itens_B!$D54="risco",IF(Entradas_B!AB54=Itens_B!$E54,Itens_B!$C54,0),IF(Itens_B!$D54="mitigacao",IF(Entradas_B!AB54="Sim",-Itens_B!$C54,Itens_B!$C54),IF(Itens_B!$D54="evidencia",IF(Entradas_B!AB54="Sim",-Itens_B!$C54,0),0))))</f>
        <v/>
      </c>
      <c r="AB56">
        <f>IF(Entradas_B!AC54="N/A",0,IF(Itens_B!$D54="risco",IF(Entradas_B!AC54=Itens_B!$E54,Itens_B!$C54,0),IF(Itens_B!$D54="mitigacao",IF(Entradas_B!AC54="Sim",-Itens_B!$C54,Itens_B!$C54),IF(Itens_B!$D54="evidencia",IF(Entradas_B!AC54="Sim",-Itens_B!$C54,0),0))))</f>
        <v/>
      </c>
      <c r="AC56">
        <f>IF(Entradas_B!AD54="N/A",0,IF(Itens_B!$D54="risco",IF(Entradas_B!AD54=Itens_B!$E54,Itens_B!$C54,0),IF(Itens_B!$D54="mitigacao",IF(Entradas_B!AD54="Sim",-Itens_B!$C54,Itens_B!$C54),IF(Itens_B!$D54="evidencia",IF(Entradas_B!AD54="Sim",-Itens_B!$C54,0),0))))</f>
        <v/>
      </c>
      <c r="AD56">
        <f>IF(Entradas_B!AE54="N/A",0,IF(Itens_B!$D54="risco",IF(Entradas_B!AE54=Itens_B!$E54,Itens_B!$C54,0),IF(Itens_B!$D54="mitigacao",IF(Entradas_B!AE54="Sim",-Itens_B!$C54,Itens_B!$C54),IF(Itens_B!$D54="evidencia",IF(Entradas_B!AE54="Sim",-Itens_B!$C54,0),0))))</f>
        <v/>
      </c>
      <c r="AE56">
        <f>IF(Entradas_B!AF54="N/A",0,IF(Itens_B!$D54="risco",IF(Entradas_B!AF54=Itens_B!$E54,Itens_B!$C54,0),IF(Itens_B!$D54="mitigacao",IF(Entradas_B!AF54="Sim",-Itens_B!$C54,Itens_B!$C54),IF(Itens_B!$D54="evidencia",IF(Entradas_B!AF54="Sim",-Itens_B!$C54,0),0))))</f>
        <v/>
      </c>
      <c r="AF56">
        <f>IF(Entradas_B!AG54="N/A",0,IF(Itens_B!$D54="risco",IF(Entradas_B!AG54=Itens_B!$E54,Itens_B!$C54,0),IF(Itens_B!$D54="mitigacao",IF(Entradas_B!AG54="Sim",-Itens_B!$C54,Itens_B!$C54),IF(Itens_B!$D54="evidencia",IF(Entradas_B!AG54="Sim",-Itens_B!$C54,0),0))))</f>
        <v/>
      </c>
    </row>
    <row r="57">
      <c r="A57" t="inlineStr">
        <is>
          <t>P6.b.5</t>
        </is>
      </c>
      <c r="B57">
        <f>IF(Entradas_B!C55="N/A",0,IF(Itens_B!$D55="risco",IF(Entradas_B!C55=Itens_B!$E55,Itens_B!$C55,0),IF(Itens_B!$D55="mitigacao",IF(Entradas_B!C55="Sim",-Itens_B!$C55,Itens_B!$C55),IF(Itens_B!$D55="evidencia",IF(Entradas_B!C55="Sim",-Itens_B!$C55,0),0))))</f>
        <v/>
      </c>
      <c r="C57">
        <f>IF(Entradas_B!D55="N/A",0,IF(Itens_B!$D55="risco",IF(Entradas_B!D55=Itens_B!$E55,Itens_B!$C55,0),IF(Itens_B!$D55="mitigacao",IF(Entradas_B!D55="Sim",-Itens_B!$C55,Itens_B!$C55),IF(Itens_B!$D55="evidencia",IF(Entradas_B!D55="Sim",-Itens_B!$C55,0),0))))</f>
        <v/>
      </c>
      <c r="D57">
        <f>IF(Entradas_B!E55="N/A",0,IF(Itens_B!$D55="risco",IF(Entradas_B!E55=Itens_B!$E55,Itens_B!$C55,0),IF(Itens_B!$D55="mitigacao",IF(Entradas_B!E55="Sim",-Itens_B!$C55,Itens_B!$C55),IF(Itens_B!$D55="evidencia",IF(Entradas_B!E55="Sim",-Itens_B!$C55,0),0))))</f>
        <v/>
      </c>
      <c r="E57">
        <f>IF(Entradas_B!F55="N/A",0,IF(Itens_B!$D55="risco",IF(Entradas_B!F55=Itens_B!$E55,Itens_B!$C55,0),IF(Itens_B!$D55="mitigacao",IF(Entradas_B!F55="Sim",-Itens_B!$C55,Itens_B!$C55),IF(Itens_B!$D55="evidencia",IF(Entradas_B!F55="Sim",-Itens_B!$C55,0),0))))</f>
        <v/>
      </c>
      <c r="F57">
        <f>IF(Entradas_B!G55="N/A",0,IF(Itens_B!$D55="risco",IF(Entradas_B!G55=Itens_B!$E55,Itens_B!$C55,0),IF(Itens_B!$D55="mitigacao",IF(Entradas_B!G55="Sim",-Itens_B!$C55,Itens_B!$C55),IF(Itens_B!$D55="evidencia",IF(Entradas_B!G55="Sim",-Itens_B!$C55,0),0))))</f>
        <v/>
      </c>
      <c r="G57">
        <f>IF(Entradas_B!H55="N/A",0,IF(Itens_B!$D55="risco",IF(Entradas_B!H55=Itens_B!$E55,Itens_B!$C55,0),IF(Itens_B!$D55="mitigacao",IF(Entradas_B!H55="Sim",-Itens_B!$C55,Itens_B!$C55),IF(Itens_B!$D55="evidencia",IF(Entradas_B!H55="Sim",-Itens_B!$C55,0),0))))</f>
        <v/>
      </c>
      <c r="H57">
        <f>IF(Entradas_B!I55="N/A",0,IF(Itens_B!$D55="risco",IF(Entradas_B!I55=Itens_B!$E55,Itens_B!$C55,0),IF(Itens_B!$D55="mitigacao",IF(Entradas_B!I55="Sim",-Itens_B!$C55,Itens_B!$C55),IF(Itens_B!$D55="evidencia",IF(Entradas_B!I55="Sim",-Itens_B!$C55,0),0))))</f>
        <v/>
      </c>
      <c r="I57">
        <f>IF(Entradas_B!J55="N/A",0,IF(Itens_B!$D55="risco",IF(Entradas_B!J55=Itens_B!$E55,Itens_B!$C55,0),IF(Itens_B!$D55="mitigacao",IF(Entradas_B!J55="Sim",-Itens_B!$C55,Itens_B!$C55),IF(Itens_B!$D55="evidencia",IF(Entradas_B!J55="Sim",-Itens_B!$C55,0),0))))</f>
        <v/>
      </c>
      <c r="J57">
        <f>IF(Entradas_B!K55="N/A",0,IF(Itens_B!$D55="risco",IF(Entradas_B!K55=Itens_B!$E55,Itens_B!$C55,0),IF(Itens_B!$D55="mitigacao",IF(Entradas_B!K55="Sim",-Itens_B!$C55,Itens_B!$C55),IF(Itens_B!$D55="evidencia",IF(Entradas_B!K55="Sim",-Itens_B!$C55,0),0))))</f>
        <v/>
      </c>
      <c r="K57">
        <f>IF(Entradas_B!L55="N/A",0,IF(Itens_B!$D55="risco",IF(Entradas_B!L55=Itens_B!$E55,Itens_B!$C55,0),IF(Itens_B!$D55="mitigacao",IF(Entradas_B!L55="Sim",-Itens_B!$C55,Itens_B!$C55),IF(Itens_B!$D55="evidencia",IF(Entradas_B!L55="Sim",-Itens_B!$C55,0),0))))</f>
        <v/>
      </c>
      <c r="L57">
        <f>IF(Entradas_B!M55="N/A",0,IF(Itens_B!$D55="risco",IF(Entradas_B!M55=Itens_B!$E55,Itens_B!$C55,0),IF(Itens_B!$D55="mitigacao",IF(Entradas_B!M55="Sim",-Itens_B!$C55,Itens_B!$C55),IF(Itens_B!$D55="evidencia",IF(Entradas_B!M55="Sim",-Itens_B!$C55,0),0))))</f>
        <v/>
      </c>
      <c r="M57">
        <f>IF(Entradas_B!N55="N/A",0,IF(Itens_B!$D55="risco",IF(Entradas_B!N55=Itens_B!$E55,Itens_B!$C55,0),IF(Itens_B!$D55="mitigacao",IF(Entradas_B!N55="Sim",-Itens_B!$C55,Itens_B!$C55),IF(Itens_B!$D55="evidencia",IF(Entradas_B!N55="Sim",-Itens_B!$C55,0),0))))</f>
        <v/>
      </c>
      <c r="N57">
        <f>IF(Entradas_B!O55="N/A",0,IF(Itens_B!$D55="risco",IF(Entradas_B!O55=Itens_B!$E55,Itens_B!$C55,0),IF(Itens_B!$D55="mitigacao",IF(Entradas_B!O55="Sim",-Itens_B!$C55,Itens_B!$C55),IF(Itens_B!$D55="evidencia",IF(Entradas_B!O55="Sim",-Itens_B!$C55,0),0))))</f>
        <v/>
      </c>
      <c r="O57">
        <f>IF(Entradas_B!P55="N/A",0,IF(Itens_B!$D55="risco",IF(Entradas_B!P55=Itens_B!$E55,Itens_B!$C55,0),IF(Itens_B!$D55="mitigacao",IF(Entradas_B!P55="Sim",-Itens_B!$C55,Itens_B!$C55),IF(Itens_B!$D55="evidencia",IF(Entradas_B!P55="Sim",-Itens_B!$C55,0),0))))</f>
        <v/>
      </c>
      <c r="P57">
        <f>IF(Entradas_B!Q55="N/A",0,IF(Itens_B!$D55="risco",IF(Entradas_B!Q55=Itens_B!$E55,Itens_B!$C55,0),IF(Itens_B!$D55="mitigacao",IF(Entradas_B!Q55="Sim",-Itens_B!$C55,Itens_B!$C55),IF(Itens_B!$D55="evidencia",IF(Entradas_B!Q55="Sim",-Itens_B!$C55,0),0))))</f>
        <v/>
      </c>
      <c r="Q57">
        <f>IF(Entradas_B!R55="N/A",0,IF(Itens_B!$D55="risco",IF(Entradas_B!R55=Itens_B!$E55,Itens_B!$C55,0),IF(Itens_B!$D55="mitigacao",IF(Entradas_B!R55="Sim",-Itens_B!$C55,Itens_B!$C55),IF(Itens_B!$D55="evidencia",IF(Entradas_B!R55="Sim",-Itens_B!$C55,0),0))))</f>
        <v/>
      </c>
      <c r="R57">
        <f>IF(Entradas_B!S55="N/A",0,IF(Itens_B!$D55="risco",IF(Entradas_B!S55=Itens_B!$E55,Itens_B!$C55,0),IF(Itens_B!$D55="mitigacao",IF(Entradas_B!S55="Sim",-Itens_B!$C55,Itens_B!$C55),IF(Itens_B!$D55="evidencia",IF(Entradas_B!S55="Sim",-Itens_B!$C55,0),0))))</f>
        <v/>
      </c>
      <c r="S57">
        <f>IF(Entradas_B!T55="N/A",0,IF(Itens_B!$D55="risco",IF(Entradas_B!T55=Itens_B!$E55,Itens_B!$C55,0),IF(Itens_B!$D55="mitigacao",IF(Entradas_B!T55="Sim",-Itens_B!$C55,Itens_B!$C55),IF(Itens_B!$D55="evidencia",IF(Entradas_B!T55="Sim",-Itens_B!$C55,0),0))))</f>
        <v/>
      </c>
      <c r="T57">
        <f>IF(Entradas_B!U55="N/A",0,IF(Itens_B!$D55="risco",IF(Entradas_B!U55=Itens_B!$E55,Itens_B!$C55,0),IF(Itens_B!$D55="mitigacao",IF(Entradas_B!U55="Sim",-Itens_B!$C55,Itens_B!$C55),IF(Itens_B!$D55="evidencia",IF(Entradas_B!U55="Sim",-Itens_B!$C55,0),0))))</f>
        <v/>
      </c>
      <c r="U57">
        <f>IF(Entradas_B!V55="N/A",0,IF(Itens_B!$D55="risco",IF(Entradas_B!V55=Itens_B!$E55,Itens_B!$C55,0),IF(Itens_B!$D55="mitigacao",IF(Entradas_B!V55="Sim",-Itens_B!$C55,Itens_B!$C55),IF(Itens_B!$D55="evidencia",IF(Entradas_B!V55="Sim",-Itens_B!$C55,0),0))))</f>
        <v/>
      </c>
      <c r="V57">
        <f>IF(Entradas_B!W55="N/A",0,IF(Itens_B!$D55="risco",IF(Entradas_B!W55=Itens_B!$E55,Itens_B!$C55,0),IF(Itens_B!$D55="mitigacao",IF(Entradas_B!W55="Sim",-Itens_B!$C55,Itens_B!$C55),IF(Itens_B!$D55="evidencia",IF(Entradas_B!W55="Sim",-Itens_B!$C55,0),0))))</f>
        <v/>
      </c>
      <c r="W57">
        <f>IF(Entradas_B!X55="N/A",0,IF(Itens_B!$D55="risco",IF(Entradas_B!X55=Itens_B!$E55,Itens_B!$C55,0),IF(Itens_B!$D55="mitigacao",IF(Entradas_B!X55="Sim",-Itens_B!$C55,Itens_B!$C55),IF(Itens_B!$D55="evidencia",IF(Entradas_B!X55="Sim",-Itens_B!$C55,0),0))))</f>
        <v/>
      </c>
      <c r="X57">
        <f>IF(Entradas_B!Y55="N/A",0,IF(Itens_B!$D55="risco",IF(Entradas_B!Y55=Itens_B!$E55,Itens_B!$C55,0),IF(Itens_B!$D55="mitigacao",IF(Entradas_B!Y55="Sim",-Itens_B!$C55,Itens_B!$C55),IF(Itens_B!$D55="evidencia",IF(Entradas_B!Y55="Sim",-Itens_B!$C55,0),0))))</f>
        <v/>
      </c>
      <c r="Y57">
        <f>IF(Entradas_B!Z55="N/A",0,IF(Itens_B!$D55="risco",IF(Entradas_B!Z55=Itens_B!$E55,Itens_B!$C55,0),IF(Itens_B!$D55="mitigacao",IF(Entradas_B!Z55="Sim",-Itens_B!$C55,Itens_B!$C55),IF(Itens_B!$D55="evidencia",IF(Entradas_B!Z55="Sim",-Itens_B!$C55,0),0))))</f>
        <v/>
      </c>
      <c r="Z57">
        <f>IF(Entradas_B!AA55="N/A",0,IF(Itens_B!$D55="risco",IF(Entradas_B!AA55=Itens_B!$E55,Itens_B!$C55,0),IF(Itens_B!$D55="mitigacao",IF(Entradas_B!AA55="Sim",-Itens_B!$C55,Itens_B!$C55),IF(Itens_B!$D55="evidencia",IF(Entradas_B!AA55="Sim",-Itens_B!$C55,0),0))))</f>
        <v/>
      </c>
      <c r="AA57">
        <f>IF(Entradas_B!AB55="N/A",0,IF(Itens_B!$D55="risco",IF(Entradas_B!AB55=Itens_B!$E55,Itens_B!$C55,0),IF(Itens_B!$D55="mitigacao",IF(Entradas_B!AB55="Sim",-Itens_B!$C55,Itens_B!$C55),IF(Itens_B!$D55="evidencia",IF(Entradas_B!AB55="Sim",-Itens_B!$C55,0),0))))</f>
        <v/>
      </c>
      <c r="AB57">
        <f>IF(Entradas_B!AC55="N/A",0,IF(Itens_B!$D55="risco",IF(Entradas_B!AC55=Itens_B!$E55,Itens_B!$C55,0),IF(Itens_B!$D55="mitigacao",IF(Entradas_B!AC55="Sim",-Itens_B!$C55,Itens_B!$C55),IF(Itens_B!$D55="evidencia",IF(Entradas_B!AC55="Sim",-Itens_B!$C55,0),0))))</f>
        <v/>
      </c>
      <c r="AC57">
        <f>IF(Entradas_B!AD55="N/A",0,IF(Itens_B!$D55="risco",IF(Entradas_B!AD55=Itens_B!$E55,Itens_B!$C55,0),IF(Itens_B!$D55="mitigacao",IF(Entradas_B!AD55="Sim",-Itens_B!$C55,Itens_B!$C55),IF(Itens_B!$D55="evidencia",IF(Entradas_B!AD55="Sim",-Itens_B!$C55,0),0))))</f>
        <v/>
      </c>
      <c r="AD57">
        <f>IF(Entradas_B!AE55="N/A",0,IF(Itens_B!$D55="risco",IF(Entradas_B!AE55=Itens_B!$E55,Itens_B!$C55,0),IF(Itens_B!$D55="mitigacao",IF(Entradas_B!AE55="Sim",-Itens_B!$C55,Itens_B!$C55),IF(Itens_B!$D55="evidencia",IF(Entradas_B!AE55="Sim",-Itens_B!$C55,0),0))))</f>
        <v/>
      </c>
      <c r="AE57">
        <f>IF(Entradas_B!AF55="N/A",0,IF(Itens_B!$D55="risco",IF(Entradas_B!AF55=Itens_B!$E55,Itens_B!$C55,0),IF(Itens_B!$D55="mitigacao",IF(Entradas_B!AF55="Sim",-Itens_B!$C55,Itens_B!$C55),IF(Itens_B!$D55="evidencia",IF(Entradas_B!AF55="Sim",-Itens_B!$C55,0),0))))</f>
        <v/>
      </c>
      <c r="AF57">
        <f>IF(Entradas_B!AG55="N/A",0,IF(Itens_B!$D55="risco",IF(Entradas_B!AG55=Itens_B!$E55,Itens_B!$C55,0),IF(Itens_B!$D55="mitigacao",IF(Entradas_B!AG55="Sim",-Itens_B!$C55,Itens_B!$C55),IF(Itens_B!$D55="evidencia",IF(Entradas_B!AG55="Sim",-Itens_B!$C55,0),0))))</f>
        <v/>
      </c>
    </row>
    <row r="58">
      <c r="A58" t="inlineStr">
        <is>
          <t>P6.b.4.1</t>
        </is>
      </c>
      <c r="B58">
        <f>IF(Entradas_B!C56="N/A",0,IF(Itens_B!$D56="risco",IF(Entradas_B!C56=Itens_B!$E56,Itens_B!$C56,0),IF(Itens_B!$D56="mitigacao",IF(Entradas_B!C56="Sim",-Itens_B!$C56,Itens_B!$C56),IF(Itens_B!$D56="evidencia",IF(Entradas_B!C56="Sim",-Itens_B!$C56,0),0))))</f>
        <v/>
      </c>
      <c r="C58">
        <f>IF(Entradas_B!D56="N/A",0,IF(Itens_B!$D56="risco",IF(Entradas_B!D56=Itens_B!$E56,Itens_B!$C56,0),IF(Itens_B!$D56="mitigacao",IF(Entradas_B!D56="Sim",-Itens_B!$C56,Itens_B!$C56),IF(Itens_B!$D56="evidencia",IF(Entradas_B!D56="Sim",-Itens_B!$C56,0),0))))</f>
        <v/>
      </c>
      <c r="D58">
        <f>IF(Entradas_B!E56="N/A",0,IF(Itens_B!$D56="risco",IF(Entradas_B!E56=Itens_B!$E56,Itens_B!$C56,0),IF(Itens_B!$D56="mitigacao",IF(Entradas_B!E56="Sim",-Itens_B!$C56,Itens_B!$C56),IF(Itens_B!$D56="evidencia",IF(Entradas_B!E56="Sim",-Itens_B!$C56,0),0))))</f>
        <v/>
      </c>
      <c r="E58">
        <f>IF(Entradas_B!F56="N/A",0,IF(Itens_B!$D56="risco",IF(Entradas_B!F56=Itens_B!$E56,Itens_B!$C56,0),IF(Itens_B!$D56="mitigacao",IF(Entradas_B!F56="Sim",-Itens_B!$C56,Itens_B!$C56),IF(Itens_B!$D56="evidencia",IF(Entradas_B!F56="Sim",-Itens_B!$C56,0),0))))</f>
        <v/>
      </c>
      <c r="F58">
        <f>IF(Entradas_B!G56="N/A",0,IF(Itens_B!$D56="risco",IF(Entradas_B!G56=Itens_B!$E56,Itens_B!$C56,0),IF(Itens_B!$D56="mitigacao",IF(Entradas_B!G56="Sim",-Itens_B!$C56,Itens_B!$C56),IF(Itens_B!$D56="evidencia",IF(Entradas_B!G56="Sim",-Itens_B!$C56,0),0))))</f>
        <v/>
      </c>
      <c r="G58">
        <f>IF(Entradas_B!H56="N/A",0,IF(Itens_B!$D56="risco",IF(Entradas_B!H56=Itens_B!$E56,Itens_B!$C56,0),IF(Itens_B!$D56="mitigacao",IF(Entradas_B!H56="Sim",-Itens_B!$C56,Itens_B!$C56),IF(Itens_B!$D56="evidencia",IF(Entradas_B!H56="Sim",-Itens_B!$C56,0),0))))</f>
        <v/>
      </c>
      <c r="H58">
        <f>IF(Entradas_B!I56="N/A",0,IF(Itens_B!$D56="risco",IF(Entradas_B!I56=Itens_B!$E56,Itens_B!$C56,0),IF(Itens_B!$D56="mitigacao",IF(Entradas_B!I56="Sim",-Itens_B!$C56,Itens_B!$C56),IF(Itens_B!$D56="evidencia",IF(Entradas_B!I56="Sim",-Itens_B!$C56,0),0))))</f>
        <v/>
      </c>
      <c r="I58">
        <f>IF(Entradas_B!J56="N/A",0,IF(Itens_B!$D56="risco",IF(Entradas_B!J56=Itens_B!$E56,Itens_B!$C56,0),IF(Itens_B!$D56="mitigacao",IF(Entradas_B!J56="Sim",-Itens_B!$C56,Itens_B!$C56),IF(Itens_B!$D56="evidencia",IF(Entradas_B!J56="Sim",-Itens_B!$C56,0),0))))</f>
        <v/>
      </c>
      <c r="J58">
        <f>IF(Entradas_B!K56="N/A",0,IF(Itens_B!$D56="risco",IF(Entradas_B!K56=Itens_B!$E56,Itens_B!$C56,0),IF(Itens_B!$D56="mitigacao",IF(Entradas_B!K56="Sim",-Itens_B!$C56,Itens_B!$C56),IF(Itens_B!$D56="evidencia",IF(Entradas_B!K56="Sim",-Itens_B!$C56,0),0))))</f>
        <v/>
      </c>
      <c r="K58">
        <f>IF(Entradas_B!L56="N/A",0,IF(Itens_B!$D56="risco",IF(Entradas_B!L56=Itens_B!$E56,Itens_B!$C56,0),IF(Itens_B!$D56="mitigacao",IF(Entradas_B!L56="Sim",-Itens_B!$C56,Itens_B!$C56),IF(Itens_B!$D56="evidencia",IF(Entradas_B!L56="Sim",-Itens_B!$C56,0),0))))</f>
        <v/>
      </c>
      <c r="L58">
        <f>IF(Entradas_B!M56="N/A",0,IF(Itens_B!$D56="risco",IF(Entradas_B!M56=Itens_B!$E56,Itens_B!$C56,0),IF(Itens_B!$D56="mitigacao",IF(Entradas_B!M56="Sim",-Itens_B!$C56,Itens_B!$C56),IF(Itens_B!$D56="evidencia",IF(Entradas_B!M56="Sim",-Itens_B!$C56,0),0))))</f>
        <v/>
      </c>
      <c r="M58">
        <f>IF(Entradas_B!N56="N/A",0,IF(Itens_B!$D56="risco",IF(Entradas_B!N56=Itens_B!$E56,Itens_B!$C56,0),IF(Itens_B!$D56="mitigacao",IF(Entradas_B!N56="Sim",-Itens_B!$C56,Itens_B!$C56),IF(Itens_B!$D56="evidencia",IF(Entradas_B!N56="Sim",-Itens_B!$C56,0),0))))</f>
        <v/>
      </c>
      <c r="N58">
        <f>IF(Entradas_B!O56="N/A",0,IF(Itens_B!$D56="risco",IF(Entradas_B!O56=Itens_B!$E56,Itens_B!$C56,0),IF(Itens_B!$D56="mitigacao",IF(Entradas_B!O56="Sim",-Itens_B!$C56,Itens_B!$C56),IF(Itens_B!$D56="evidencia",IF(Entradas_B!O56="Sim",-Itens_B!$C56,0),0))))</f>
        <v/>
      </c>
      <c r="O58">
        <f>IF(Entradas_B!P56="N/A",0,IF(Itens_B!$D56="risco",IF(Entradas_B!P56=Itens_B!$E56,Itens_B!$C56,0),IF(Itens_B!$D56="mitigacao",IF(Entradas_B!P56="Sim",-Itens_B!$C56,Itens_B!$C56),IF(Itens_B!$D56="evidencia",IF(Entradas_B!P56="Sim",-Itens_B!$C56,0),0))))</f>
        <v/>
      </c>
      <c r="P58">
        <f>IF(Entradas_B!Q56="N/A",0,IF(Itens_B!$D56="risco",IF(Entradas_B!Q56=Itens_B!$E56,Itens_B!$C56,0),IF(Itens_B!$D56="mitigacao",IF(Entradas_B!Q56="Sim",-Itens_B!$C56,Itens_B!$C56),IF(Itens_B!$D56="evidencia",IF(Entradas_B!Q56="Sim",-Itens_B!$C56,0),0))))</f>
        <v/>
      </c>
      <c r="Q58">
        <f>IF(Entradas_B!R56="N/A",0,IF(Itens_B!$D56="risco",IF(Entradas_B!R56=Itens_B!$E56,Itens_B!$C56,0),IF(Itens_B!$D56="mitigacao",IF(Entradas_B!R56="Sim",-Itens_B!$C56,Itens_B!$C56),IF(Itens_B!$D56="evidencia",IF(Entradas_B!R56="Sim",-Itens_B!$C56,0),0))))</f>
        <v/>
      </c>
      <c r="R58">
        <f>IF(Entradas_B!S56="N/A",0,IF(Itens_B!$D56="risco",IF(Entradas_B!S56=Itens_B!$E56,Itens_B!$C56,0),IF(Itens_B!$D56="mitigacao",IF(Entradas_B!S56="Sim",-Itens_B!$C56,Itens_B!$C56),IF(Itens_B!$D56="evidencia",IF(Entradas_B!S56="Sim",-Itens_B!$C56,0),0))))</f>
        <v/>
      </c>
      <c r="S58">
        <f>IF(Entradas_B!T56="N/A",0,IF(Itens_B!$D56="risco",IF(Entradas_B!T56=Itens_B!$E56,Itens_B!$C56,0),IF(Itens_B!$D56="mitigacao",IF(Entradas_B!T56="Sim",-Itens_B!$C56,Itens_B!$C56),IF(Itens_B!$D56="evidencia",IF(Entradas_B!T56="Sim",-Itens_B!$C56,0),0))))</f>
        <v/>
      </c>
      <c r="T58">
        <f>IF(Entradas_B!U56="N/A",0,IF(Itens_B!$D56="risco",IF(Entradas_B!U56=Itens_B!$E56,Itens_B!$C56,0),IF(Itens_B!$D56="mitigacao",IF(Entradas_B!U56="Sim",-Itens_B!$C56,Itens_B!$C56),IF(Itens_B!$D56="evidencia",IF(Entradas_B!U56="Sim",-Itens_B!$C56,0),0))))</f>
        <v/>
      </c>
      <c r="U58">
        <f>IF(Entradas_B!V56="N/A",0,IF(Itens_B!$D56="risco",IF(Entradas_B!V56=Itens_B!$E56,Itens_B!$C56,0),IF(Itens_B!$D56="mitigacao",IF(Entradas_B!V56="Sim",-Itens_B!$C56,Itens_B!$C56),IF(Itens_B!$D56="evidencia",IF(Entradas_B!V56="Sim",-Itens_B!$C56,0),0))))</f>
        <v/>
      </c>
      <c r="V58">
        <f>IF(Entradas_B!W56="N/A",0,IF(Itens_B!$D56="risco",IF(Entradas_B!W56=Itens_B!$E56,Itens_B!$C56,0),IF(Itens_B!$D56="mitigacao",IF(Entradas_B!W56="Sim",-Itens_B!$C56,Itens_B!$C56),IF(Itens_B!$D56="evidencia",IF(Entradas_B!W56="Sim",-Itens_B!$C56,0),0))))</f>
        <v/>
      </c>
      <c r="W58">
        <f>IF(Entradas_B!X56="N/A",0,IF(Itens_B!$D56="risco",IF(Entradas_B!X56=Itens_B!$E56,Itens_B!$C56,0),IF(Itens_B!$D56="mitigacao",IF(Entradas_B!X56="Sim",-Itens_B!$C56,Itens_B!$C56),IF(Itens_B!$D56="evidencia",IF(Entradas_B!X56="Sim",-Itens_B!$C56,0),0))))</f>
        <v/>
      </c>
      <c r="X58">
        <f>IF(Entradas_B!Y56="N/A",0,IF(Itens_B!$D56="risco",IF(Entradas_B!Y56=Itens_B!$E56,Itens_B!$C56,0),IF(Itens_B!$D56="mitigacao",IF(Entradas_B!Y56="Sim",-Itens_B!$C56,Itens_B!$C56),IF(Itens_B!$D56="evidencia",IF(Entradas_B!Y56="Sim",-Itens_B!$C56,0),0))))</f>
        <v/>
      </c>
      <c r="Y58">
        <f>IF(Entradas_B!Z56="N/A",0,IF(Itens_B!$D56="risco",IF(Entradas_B!Z56=Itens_B!$E56,Itens_B!$C56,0),IF(Itens_B!$D56="mitigacao",IF(Entradas_B!Z56="Sim",-Itens_B!$C56,Itens_B!$C56),IF(Itens_B!$D56="evidencia",IF(Entradas_B!Z56="Sim",-Itens_B!$C56,0),0))))</f>
        <v/>
      </c>
      <c r="Z58">
        <f>IF(Entradas_B!AA56="N/A",0,IF(Itens_B!$D56="risco",IF(Entradas_B!AA56=Itens_B!$E56,Itens_B!$C56,0),IF(Itens_B!$D56="mitigacao",IF(Entradas_B!AA56="Sim",-Itens_B!$C56,Itens_B!$C56),IF(Itens_B!$D56="evidencia",IF(Entradas_B!AA56="Sim",-Itens_B!$C56,0),0))))</f>
        <v/>
      </c>
      <c r="AA58">
        <f>IF(Entradas_B!AB56="N/A",0,IF(Itens_B!$D56="risco",IF(Entradas_B!AB56=Itens_B!$E56,Itens_B!$C56,0),IF(Itens_B!$D56="mitigacao",IF(Entradas_B!AB56="Sim",-Itens_B!$C56,Itens_B!$C56),IF(Itens_B!$D56="evidencia",IF(Entradas_B!AB56="Sim",-Itens_B!$C56,0),0))))</f>
        <v/>
      </c>
      <c r="AB58">
        <f>IF(Entradas_B!AC56="N/A",0,IF(Itens_B!$D56="risco",IF(Entradas_B!AC56=Itens_B!$E56,Itens_B!$C56,0),IF(Itens_B!$D56="mitigacao",IF(Entradas_B!AC56="Sim",-Itens_B!$C56,Itens_B!$C56),IF(Itens_B!$D56="evidencia",IF(Entradas_B!AC56="Sim",-Itens_B!$C56,0),0))))</f>
        <v/>
      </c>
      <c r="AC58">
        <f>IF(Entradas_B!AD56="N/A",0,IF(Itens_B!$D56="risco",IF(Entradas_B!AD56=Itens_B!$E56,Itens_B!$C56,0),IF(Itens_B!$D56="mitigacao",IF(Entradas_B!AD56="Sim",-Itens_B!$C56,Itens_B!$C56),IF(Itens_B!$D56="evidencia",IF(Entradas_B!AD56="Sim",-Itens_B!$C56,0),0))))</f>
        <v/>
      </c>
      <c r="AD58">
        <f>IF(Entradas_B!AE56="N/A",0,IF(Itens_B!$D56="risco",IF(Entradas_B!AE56=Itens_B!$E56,Itens_B!$C56,0),IF(Itens_B!$D56="mitigacao",IF(Entradas_B!AE56="Sim",-Itens_B!$C56,Itens_B!$C56),IF(Itens_B!$D56="evidencia",IF(Entradas_B!AE56="Sim",-Itens_B!$C56,0),0))))</f>
        <v/>
      </c>
      <c r="AE58">
        <f>IF(Entradas_B!AF56="N/A",0,IF(Itens_B!$D56="risco",IF(Entradas_B!AF56=Itens_B!$E56,Itens_B!$C56,0),IF(Itens_B!$D56="mitigacao",IF(Entradas_B!AF56="Sim",-Itens_B!$C56,Itens_B!$C56),IF(Itens_B!$D56="evidencia",IF(Entradas_B!AF56="Sim",-Itens_B!$C56,0),0))))</f>
        <v/>
      </c>
      <c r="AF58">
        <f>IF(Entradas_B!AG56="N/A",0,IF(Itens_B!$D56="risco",IF(Entradas_B!AG56=Itens_B!$E56,Itens_B!$C56,0),IF(Itens_B!$D56="mitigacao",IF(Entradas_B!AG56="Sim",-Itens_B!$C56,Itens_B!$C56),IF(Itens_B!$D56="evidencia",IF(Entradas_B!AG56="Sim",-Itens_B!$C56,0),0))))</f>
        <v/>
      </c>
    </row>
    <row r="59">
      <c r="A59" t="inlineStr">
        <is>
          <t>P6.b.6</t>
        </is>
      </c>
      <c r="B59">
        <f>IF(Entradas_B!C57="N/A",0,IF(Itens_B!$D57="risco",IF(Entradas_B!C57=Itens_B!$E57,Itens_B!$C57,0),IF(Itens_B!$D57="mitigacao",IF(Entradas_B!C57="Sim",-Itens_B!$C57,Itens_B!$C57),IF(Itens_B!$D57="evidencia",IF(Entradas_B!C57="Sim",-Itens_B!$C57,0),0))))</f>
        <v/>
      </c>
      <c r="C59">
        <f>IF(Entradas_B!D57="N/A",0,IF(Itens_B!$D57="risco",IF(Entradas_B!D57=Itens_B!$E57,Itens_B!$C57,0),IF(Itens_B!$D57="mitigacao",IF(Entradas_B!D57="Sim",-Itens_B!$C57,Itens_B!$C57),IF(Itens_B!$D57="evidencia",IF(Entradas_B!D57="Sim",-Itens_B!$C57,0),0))))</f>
        <v/>
      </c>
      <c r="D59">
        <f>IF(Entradas_B!E57="N/A",0,IF(Itens_B!$D57="risco",IF(Entradas_B!E57=Itens_B!$E57,Itens_B!$C57,0),IF(Itens_B!$D57="mitigacao",IF(Entradas_B!E57="Sim",-Itens_B!$C57,Itens_B!$C57),IF(Itens_B!$D57="evidencia",IF(Entradas_B!E57="Sim",-Itens_B!$C57,0),0))))</f>
        <v/>
      </c>
      <c r="E59">
        <f>IF(Entradas_B!F57="N/A",0,IF(Itens_B!$D57="risco",IF(Entradas_B!F57=Itens_B!$E57,Itens_B!$C57,0),IF(Itens_B!$D57="mitigacao",IF(Entradas_B!F57="Sim",-Itens_B!$C57,Itens_B!$C57),IF(Itens_B!$D57="evidencia",IF(Entradas_B!F57="Sim",-Itens_B!$C57,0),0))))</f>
        <v/>
      </c>
      <c r="F59">
        <f>IF(Entradas_B!G57="N/A",0,IF(Itens_B!$D57="risco",IF(Entradas_B!G57=Itens_B!$E57,Itens_B!$C57,0),IF(Itens_B!$D57="mitigacao",IF(Entradas_B!G57="Sim",-Itens_B!$C57,Itens_B!$C57),IF(Itens_B!$D57="evidencia",IF(Entradas_B!G57="Sim",-Itens_B!$C57,0),0))))</f>
        <v/>
      </c>
      <c r="G59">
        <f>IF(Entradas_B!H57="N/A",0,IF(Itens_B!$D57="risco",IF(Entradas_B!H57=Itens_B!$E57,Itens_B!$C57,0),IF(Itens_B!$D57="mitigacao",IF(Entradas_B!H57="Sim",-Itens_B!$C57,Itens_B!$C57),IF(Itens_B!$D57="evidencia",IF(Entradas_B!H57="Sim",-Itens_B!$C57,0),0))))</f>
        <v/>
      </c>
      <c r="H59">
        <f>IF(Entradas_B!I57="N/A",0,IF(Itens_B!$D57="risco",IF(Entradas_B!I57=Itens_B!$E57,Itens_B!$C57,0),IF(Itens_B!$D57="mitigacao",IF(Entradas_B!I57="Sim",-Itens_B!$C57,Itens_B!$C57),IF(Itens_B!$D57="evidencia",IF(Entradas_B!I57="Sim",-Itens_B!$C57,0),0))))</f>
        <v/>
      </c>
      <c r="I59">
        <f>IF(Entradas_B!J57="N/A",0,IF(Itens_B!$D57="risco",IF(Entradas_B!J57=Itens_B!$E57,Itens_B!$C57,0),IF(Itens_B!$D57="mitigacao",IF(Entradas_B!J57="Sim",-Itens_B!$C57,Itens_B!$C57),IF(Itens_B!$D57="evidencia",IF(Entradas_B!J57="Sim",-Itens_B!$C57,0),0))))</f>
        <v/>
      </c>
      <c r="J59">
        <f>IF(Entradas_B!K57="N/A",0,IF(Itens_B!$D57="risco",IF(Entradas_B!K57=Itens_B!$E57,Itens_B!$C57,0),IF(Itens_B!$D57="mitigacao",IF(Entradas_B!K57="Sim",-Itens_B!$C57,Itens_B!$C57),IF(Itens_B!$D57="evidencia",IF(Entradas_B!K57="Sim",-Itens_B!$C57,0),0))))</f>
        <v/>
      </c>
      <c r="K59">
        <f>IF(Entradas_B!L57="N/A",0,IF(Itens_B!$D57="risco",IF(Entradas_B!L57=Itens_B!$E57,Itens_B!$C57,0),IF(Itens_B!$D57="mitigacao",IF(Entradas_B!L57="Sim",-Itens_B!$C57,Itens_B!$C57),IF(Itens_B!$D57="evidencia",IF(Entradas_B!L57="Sim",-Itens_B!$C57,0),0))))</f>
        <v/>
      </c>
      <c r="L59">
        <f>IF(Entradas_B!M57="N/A",0,IF(Itens_B!$D57="risco",IF(Entradas_B!M57=Itens_B!$E57,Itens_B!$C57,0),IF(Itens_B!$D57="mitigacao",IF(Entradas_B!M57="Sim",-Itens_B!$C57,Itens_B!$C57),IF(Itens_B!$D57="evidencia",IF(Entradas_B!M57="Sim",-Itens_B!$C57,0),0))))</f>
        <v/>
      </c>
      <c r="M59">
        <f>IF(Entradas_B!N57="N/A",0,IF(Itens_B!$D57="risco",IF(Entradas_B!N57=Itens_B!$E57,Itens_B!$C57,0),IF(Itens_B!$D57="mitigacao",IF(Entradas_B!N57="Sim",-Itens_B!$C57,Itens_B!$C57),IF(Itens_B!$D57="evidencia",IF(Entradas_B!N57="Sim",-Itens_B!$C57,0),0))))</f>
        <v/>
      </c>
      <c r="N59">
        <f>IF(Entradas_B!O57="N/A",0,IF(Itens_B!$D57="risco",IF(Entradas_B!O57=Itens_B!$E57,Itens_B!$C57,0),IF(Itens_B!$D57="mitigacao",IF(Entradas_B!O57="Sim",-Itens_B!$C57,Itens_B!$C57),IF(Itens_B!$D57="evidencia",IF(Entradas_B!O57="Sim",-Itens_B!$C57,0),0))))</f>
        <v/>
      </c>
      <c r="O59">
        <f>IF(Entradas_B!P57="N/A",0,IF(Itens_B!$D57="risco",IF(Entradas_B!P57=Itens_B!$E57,Itens_B!$C57,0),IF(Itens_B!$D57="mitigacao",IF(Entradas_B!P57="Sim",-Itens_B!$C57,Itens_B!$C57),IF(Itens_B!$D57="evidencia",IF(Entradas_B!P57="Sim",-Itens_B!$C57,0),0))))</f>
        <v/>
      </c>
      <c r="P59">
        <f>IF(Entradas_B!Q57="N/A",0,IF(Itens_B!$D57="risco",IF(Entradas_B!Q57=Itens_B!$E57,Itens_B!$C57,0),IF(Itens_B!$D57="mitigacao",IF(Entradas_B!Q57="Sim",-Itens_B!$C57,Itens_B!$C57),IF(Itens_B!$D57="evidencia",IF(Entradas_B!Q57="Sim",-Itens_B!$C57,0),0))))</f>
        <v/>
      </c>
      <c r="Q59">
        <f>IF(Entradas_B!R57="N/A",0,IF(Itens_B!$D57="risco",IF(Entradas_B!R57=Itens_B!$E57,Itens_B!$C57,0),IF(Itens_B!$D57="mitigacao",IF(Entradas_B!R57="Sim",-Itens_B!$C57,Itens_B!$C57),IF(Itens_B!$D57="evidencia",IF(Entradas_B!R57="Sim",-Itens_B!$C57,0),0))))</f>
        <v/>
      </c>
      <c r="R59">
        <f>IF(Entradas_B!S57="N/A",0,IF(Itens_B!$D57="risco",IF(Entradas_B!S57=Itens_B!$E57,Itens_B!$C57,0),IF(Itens_B!$D57="mitigacao",IF(Entradas_B!S57="Sim",-Itens_B!$C57,Itens_B!$C57),IF(Itens_B!$D57="evidencia",IF(Entradas_B!S57="Sim",-Itens_B!$C57,0),0))))</f>
        <v/>
      </c>
      <c r="S59">
        <f>IF(Entradas_B!T57="N/A",0,IF(Itens_B!$D57="risco",IF(Entradas_B!T57=Itens_B!$E57,Itens_B!$C57,0),IF(Itens_B!$D57="mitigacao",IF(Entradas_B!T57="Sim",-Itens_B!$C57,Itens_B!$C57),IF(Itens_B!$D57="evidencia",IF(Entradas_B!T57="Sim",-Itens_B!$C57,0),0))))</f>
        <v/>
      </c>
      <c r="T59">
        <f>IF(Entradas_B!U57="N/A",0,IF(Itens_B!$D57="risco",IF(Entradas_B!U57=Itens_B!$E57,Itens_B!$C57,0),IF(Itens_B!$D57="mitigacao",IF(Entradas_B!U57="Sim",-Itens_B!$C57,Itens_B!$C57),IF(Itens_B!$D57="evidencia",IF(Entradas_B!U57="Sim",-Itens_B!$C57,0),0))))</f>
        <v/>
      </c>
      <c r="U59">
        <f>IF(Entradas_B!V57="N/A",0,IF(Itens_B!$D57="risco",IF(Entradas_B!V57=Itens_B!$E57,Itens_B!$C57,0),IF(Itens_B!$D57="mitigacao",IF(Entradas_B!V57="Sim",-Itens_B!$C57,Itens_B!$C57),IF(Itens_B!$D57="evidencia",IF(Entradas_B!V57="Sim",-Itens_B!$C57,0),0))))</f>
        <v/>
      </c>
      <c r="V59">
        <f>IF(Entradas_B!W57="N/A",0,IF(Itens_B!$D57="risco",IF(Entradas_B!W57=Itens_B!$E57,Itens_B!$C57,0),IF(Itens_B!$D57="mitigacao",IF(Entradas_B!W57="Sim",-Itens_B!$C57,Itens_B!$C57),IF(Itens_B!$D57="evidencia",IF(Entradas_B!W57="Sim",-Itens_B!$C57,0),0))))</f>
        <v/>
      </c>
      <c r="W59">
        <f>IF(Entradas_B!X57="N/A",0,IF(Itens_B!$D57="risco",IF(Entradas_B!X57=Itens_B!$E57,Itens_B!$C57,0),IF(Itens_B!$D57="mitigacao",IF(Entradas_B!X57="Sim",-Itens_B!$C57,Itens_B!$C57),IF(Itens_B!$D57="evidencia",IF(Entradas_B!X57="Sim",-Itens_B!$C57,0),0))))</f>
        <v/>
      </c>
      <c r="X59">
        <f>IF(Entradas_B!Y57="N/A",0,IF(Itens_B!$D57="risco",IF(Entradas_B!Y57=Itens_B!$E57,Itens_B!$C57,0),IF(Itens_B!$D57="mitigacao",IF(Entradas_B!Y57="Sim",-Itens_B!$C57,Itens_B!$C57),IF(Itens_B!$D57="evidencia",IF(Entradas_B!Y57="Sim",-Itens_B!$C57,0),0))))</f>
        <v/>
      </c>
      <c r="Y59">
        <f>IF(Entradas_B!Z57="N/A",0,IF(Itens_B!$D57="risco",IF(Entradas_B!Z57=Itens_B!$E57,Itens_B!$C57,0),IF(Itens_B!$D57="mitigacao",IF(Entradas_B!Z57="Sim",-Itens_B!$C57,Itens_B!$C57),IF(Itens_B!$D57="evidencia",IF(Entradas_B!Z57="Sim",-Itens_B!$C57,0),0))))</f>
        <v/>
      </c>
      <c r="Z59">
        <f>IF(Entradas_B!AA57="N/A",0,IF(Itens_B!$D57="risco",IF(Entradas_B!AA57=Itens_B!$E57,Itens_B!$C57,0),IF(Itens_B!$D57="mitigacao",IF(Entradas_B!AA57="Sim",-Itens_B!$C57,Itens_B!$C57),IF(Itens_B!$D57="evidencia",IF(Entradas_B!AA57="Sim",-Itens_B!$C57,0),0))))</f>
        <v/>
      </c>
      <c r="AA59">
        <f>IF(Entradas_B!AB57="N/A",0,IF(Itens_B!$D57="risco",IF(Entradas_B!AB57=Itens_B!$E57,Itens_B!$C57,0),IF(Itens_B!$D57="mitigacao",IF(Entradas_B!AB57="Sim",-Itens_B!$C57,Itens_B!$C57),IF(Itens_B!$D57="evidencia",IF(Entradas_B!AB57="Sim",-Itens_B!$C57,0),0))))</f>
        <v/>
      </c>
      <c r="AB59">
        <f>IF(Entradas_B!AC57="N/A",0,IF(Itens_B!$D57="risco",IF(Entradas_B!AC57=Itens_B!$E57,Itens_B!$C57,0),IF(Itens_B!$D57="mitigacao",IF(Entradas_B!AC57="Sim",-Itens_B!$C57,Itens_B!$C57),IF(Itens_B!$D57="evidencia",IF(Entradas_B!AC57="Sim",-Itens_B!$C57,0),0))))</f>
        <v/>
      </c>
      <c r="AC59">
        <f>IF(Entradas_B!AD57="N/A",0,IF(Itens_B!$D57="risco",IF(Entradas_B!AD57=Itens_B!$E57,Itens_B!$C57,0),IF(Itens_B!$D57="mitigacao",IF(Entradas_B!AD57="Sim",-Itens_B!$C57,Itens_B!$C57),IF(Itens_B!$D57="evidencia",IF(Entradas_B!AD57="Sim",-Itens_B!$C57,0),0))))</f>
        <v/>
      </c>
      <c r="AD59">
        <f>IF(Entradas_B!AE57="N/A",0,IF(Itens_B!$D57="risco",IF(Entradas_B!AE57=Itens_B!$E57,Itens_B!$C57,0),IF(Itens_B!$D57="mitigacao",IF(Entradas_B!AE57="Sim",-Itens_B!$C57,Itens_B!$C57),IF(Itens_B!$D57="evidencia",IF(Entradas_B!AE57="Sim",-Itens_B!$C57,0),0))))</f>
        <v/>
      </c>
      <c r="AE59">
        <f>IF(Entradas_B!AF57="N/A",0,IF(Itens_B!$D57="risco",IF(Entradas_B!AF57=Itens_B!$E57,Itens_B!$C57,0),IF(Itens_B!$D57="mitigacao",IF(Entradas_B!AF57="Sim",-Itens_B!$C57,Itens_B!$C57),IF(Itens_B!$D57="evidencia",IF(Entradas_B!AF57="Sim",-Itens_B!$C57,0),0))))</f>
        <v/>
      </c>
      <c r="AF59">
        <f>IF(Entradas_B!AG57="N/A",0,IF(Itens_B!$D57="risco",IF(Entradas_B!AG57=Itens_B!$E57,Itens_B!$C57,0),IF(Itens_B!$D57="mitigacao",IF(Entradas_B!AG57="Sim",-Itens_B!$C57,Itens_B!$C57),IF(Itens_B!$D57="evidencia",IF(Entradas_B!AG57="Sim",-Itens_B!$C57,0),0))))</f>
        <v/>
      </c>
    </row>
    <row r="60">
      <c r="A60" t="inlineStr">
        <is>
          <t>P6.b.7</t>
        </is>
      </c>
      <c r="B60">
        <f>IF(Entradas_B!C58="N/A",0,IF(Itens_B!$D58="risco",IF(Entradas_B!C58=Itens_B!$E58,Itens_B!$C58,0),IF(Itens_B!$D58="mitigacao",IF(Entradas_B!C58="Sim",-Itens_B!$C58,Itens_B!$C58),IF(Itens_B!$D58="evidencia",IF(Entradas_B!C58="Sim",-Itens_B!$C58,0),0))))</f>
        <v/>
      </c>
      <c r="C60">
        <f>IF(Entradas_B!D58="N/A",0,IF(Itens_B!$D58="risco",IF(Entradas_B!D58=Itens_B!$E58,Itens_B!$C58,0),IF(Itens_B!$D58="mitigacao",IF(Entradas_B!D58="Sim",-Itens_B!$C58,Itens_B!$C58),IF(Itens_B!$D58="evidencia",IF(Entradas_B!D58="Sim",-Itens_B!$C58,0),0))))</f>
        <v/>
      </c>
      <c r="D60">
        <f>IF(Entradas_B!E58="N/A",0,IF(Itens_B!$D58="risco",IF(Entradas_B!E58=Itens_B!$E58,Itens_B!$C58,0),IF(Itens_B!$D58="mitigacao",IF(Entradas_B!E58="Sim",-Itens_B!$C58,Itens_B!$C58),IF(Itens_B!$D58="evidencia",IF(Entradas_B!E58="Sim",-Itens_B!$C58,0),0))))</f>
        <v/>
      </c>
      <c r="E60">
        <f>IF(Entradas_B!F58="N/A",0,IF(Itens_B!$D58="risco",IF(Entradas_B!F58=Itens_B!$E58,Itens_B!$C58,0),IF(Itens_B!$D58="mitigacao",IF(Entradas_B!F58="Sim",-Itens_B!$C58,Itens_B!$C58),IF(Itens_B!$D58="evidencia",IF(Entradas_B!F58="Sim",-Itens_B!$C58,0),0))))</f>
        <v/>
      </c>
      <c r="F60">
        <f>IF(Entradas_B!G58="N/A",0,IF(Itens_B!$D58="risco",IF(Entradas_B!G58=Itens_B!$E58,Itens_B!$C58,0),IF(Itens_B!$D58="mitigacao",IF(Entradas_B!G58="Sim",-Itens_B!$C58,Itens_B!$C58),IF(Itens_B!$D58="evidencia",IF(Entradas_B!G58="Sim",-Itens_B!$C58,0),0))))</f>
        <v/>
      </c>
      <c r="G60">
        <f>IF(Entradas_B!H58="N/A",0,IF(Itens_B!$D58="risco",IF(Entradas_B!H58=Itens_B!$E58,Itens_B!$C58,0),IF(Itens_B!$D58="mitigacao",IF(Entradas_B!H58="Sim",-Itens_B!$C58,Itens_B!$C58),IF(Itens_B!$D58="evidencia",IF(Entradas_B!H58="Sim",-Itens_B!$C58,0),0))))</f>
        <v/>
      </c>
      <c r="H60">
        <f>IF(Entradas_B!I58="N/A",0,IF(Itens_B!$D58="risco",IF(Entradas_B!I58=Itens_B!$E58,Itens_B!$C58,0),IF(Itens_B!$D58="mitigacao",IF(Entradas_B!I58="Sim",-Itens_B!$C58,Itens_B!$C58),IF(Itens_B!$D58="evidencia",IF(Entradas_B!I58="Sim",-Itens_B!$C58,0),0))))</f>
        <v/>
      </c>
      <c r="I60">
        <f>IF(Entradas_B!J58="N/A",0,IF(Itens_B!$D58="risco",IF(Entradas_B!J58=Itens_B!$E58,Itens_B!$C58,0),IF(Itens_B!$D58="mitigacao",IF(Entradas_B!J58="Sim",-Itens_B!$C58,Itens_B!$C58),IF(Itens_B!$D58="evidencia",IF(Entradas_B!J58="Sim",-Itens_B!$C58,0),0))))</f>
        <v/>
      </c>
      <c r="J60">
        <f>IF(Entradas_B!K58="N/A",0,IF(Itens_B!$D58="risco",IF(Entradas_B!K58=Itens_B!$E58,Itens_B!$C58,0),IF(Itens_B!$D58="mitigacao",IF(Entradas_B!K58="Sim",-Itens_B!$C58,Itens_B!$C58),IF(Itens_B!$D58="evidencia",IF(Entradas_B!K58="Sim",-Itens_B!$C58,0),0))))</f>
        <v/>
      </c>
      <c r="K60">
        <f>IF(Entradas_B!L58="N/A",0,IF(Itens_B!$D58="risco",IF(Entradas_B!L58=Itens_B!$E58,Itens_B!$C58,0),IF(Itens_B!$D58="mitigacao",IF(Entradas_B!L58="Sim",-Itens_B!$C58,Itens_B!$C58),IF(Itens_B!$D58="evidencia",IF(Entradas_B!L58="Sim",-Itens_B!$C58,0),0))))</f>
        <v/>
      </c>
      <c r="L60">
        <f>IF(Entradas_B!M58="N/A",0,IF(Itens_B!$D58="risco",IF(Entradas_B!M58=Itens_B!$E58,Itens_B!$C58,0),IF(Itens_B!$D58="mitigacao",IF(Entradas_B!M58="Sim",-Itens_B!$C58,Itens_B!$C58),IF(Itens_B!$D58="evidencia",IF(Entradas_B!M58="Sim",-Itens_B!$C58,0),0))))</f>
        <v/>
      </c>
      <c r="M60">
        <f>IF(Entradas_B!N58="N/A",0,IF(Itens_B!$D58="risco",IF(Entradas_B!N58=Itens_B!$E58,Itens_B!$C58,0),IF(Itens_B!$D58="mitigacao",IF(Entradas_B!N58="Sim",-Itens_B!$C58,Itens_B!$C58),IF(Itens_B!$D58="evidencia",IF(Entradas_B!N58="Sim",-Itens_B!$C58,0),0))))</f>
        <v/>
      </c>
      <c r="N60">
        <f>IF(Entradas_B!O58="N/A",0,IF(Itens_B!$D58="risco",IF(Entradas_B!O58=Itens_B!$E58,Itens_B!$C58,0),IF(Itens_B!$D58="mitigacao",IF(Entradas_B!O58="Sim",-Itens_B!$C58,Itens_B!$C58),IF(Itens_B!$D58="evidencia",IF(Entradas_B!O58="Sim",-Itens_B!$C58,0),0))))</f>
        <v/>
      </c>
      <c r="O60">
        <f>IF(Entradas_B!P58="N/A",0,IF(Itens_B!$D58="risco",IF(Entradas_B!P58=Itens_B!$E58,Itens_B!$C58,0),IF(Itens_B!$D58="mitigacao",IF(Entradas_B!P58="Sim",-Itens_B!$C58,Itens_B!$C58),IF(Itens_B!$D58="evidencia",IF(Entradas_B!P58="Sim",-Itens_B!$C58,0),0))))</f>
        <v/>
      </c>
      <c r="P60">
        <f>IF(Entradas_B!Q58="N/A",0,IF(Itens_B!$D58="risco",IF(Entradas_B!Q58=Itens_B!$E58,Itens_B!$C58,0),IF(Itens_B!$D58="mitigacao",IF(Entradas_B!Q58="Sim",-Itens_B!$C58,Itens_B!$C58),IF(Itens_B!$D58="evidencia",IF(Entradas_B!Q58="Sim",-Itens_B!$C58,0),0))))</f>
        <v/>
      </c>
      <c r="Q60">
        <f>IF(Entradas_B!R58="N/A",0,IF(Itens_B!$D58="risco",IF(Entradas_B!R58=Itens_B!$E58,Itens_B!$C58,0),IF(Itens_B!$D58="mitigacao",IF(Entradas_B!R58="Sim",-Itens_B!$C58,Itens_B!$C58),IF(Itens_B!$D58="evidencia",IF(Entradas_B!R58="Sim",-Itens_B!$C58,0),0))))</f>
        <v/>
      </c>
      <c r="R60">
        <f>IF(Entradas_B!S58="N/A",0,IF(Itens_B!$D58="risco",IF(Entradas_B!S58=Itens_B!$E58,Itens_B!$C58,0),IF(Itens_B!$D58="mitigacao",IF(Entradas_B!S58="Sim",-Itens_B!$C58,Itens_B!$C58),IF(Itens_B!$D58="evidencia",IF(Entradas_B!S58="Sim",-Itens_B!$C58,0),0))))</f>
        <v/>
      </c>
      <c r="S60">
        <f>IF(Entradas_B!T58="N/A",0,IF(Itens_B!$D58="risco",IF(Entradas_B!T58=Itens_B!$E58,Itens_B!$C58,0),IF(Itens_B!$D58="mitigacao",IF(Entradas_B!T58="Sim",-Itens_B!$C58,Itens_B!$C58),IF(Itens_B!$D58="evidencia",IF(Entradas_B!T58="Sim",-Itens_B!$C58,0),0))))</f>
        <v/>
      </c>
      <c r="T60">
        <f>IF(Entradas_B!U58="N/A",0,IF(Itens_B!$D58="risco",IF(Entradas_B!U58=Itens_B!$E58,Itens_B!$C58,0),IF(Itens_B!$D58="mitigacao",IF(Entradas_B!U58="Sim",-Itens_B!$C58,Itens_B!$C58),IF(Itens_B!$D58="evidencia",IF(Entradas_B!U58="Sim",-Itens_B!$C58,0),0))))</f>
        <v/>
      </c>
      <c r="U60">
        <f>IF(Entradas_B!V58="N/A",0,IF(Itens_B!$D58="risco",IF(Entradas_B!V58=Itens_B!$E58,Itens_B!$C58,0),IF(Itens_B!$D58="mitigacao",IF(Entradas_B!V58="Sim",-Itens_B!$C58,Itens_B!$C58),IF(Itens_B!$D58="evidencia",IF(Entradas_B!V58="Sim",-Itens_B!$C58,0),0))))</f>
        <v/>
      </c>
      <c r="V60">
        <f>IF(Entradas_B!W58="N/A",0,IF(Itens_B!$D58="risco",IF(Entradas_B!W58=Itens_B!$E58,Itens_B!$C58,0),IF(Itens_B!$D58="mitigacao",IF(Entradas_B!W58="Sim",-Itens_B!$C58,Itens_B!$C58),IF(Itens_B!$D58="evidencia",IF(Entradas_B!W58="Sim",-Itens_B!$C58,0),0))))</f>
        <v/>
      </c>
      <c r="W60">
        <f>IF(Entradas_B!X58="N/A",0,IF(Itens_B!$D58="risco",IF(Entradas_B!X58=Itens_B!$E58,Itens_B!$C58,0),IF(Itens_B!$D58="mitigacao",IF(Entradas_B!X58="Sim",-Itens_B!$C58,Itens_B!$C58),IF(Itens_B!$D58="evidencia",IF(Entradas_B!X58="Sim",-Itens_B!$C58,0),0))))</f>
        <v/>
      </c>
      <c r="X60">
        <f>IF(Entradas_B!Y58="N/A",0,IF(Itens_B!$D58="risco",IF(Entradas_B!Y58=Itens_B!$E58,Itens_B!$C58,0),IF(Itens_B!$D58="mitigacao",IF(Entradas_B!Y58="Sim",-Itens_B!$C58,Itens_B!$C58),IF(Itens_B!$D58="evidencia",IF(Entradas_B!Y58="Sim",-Itens_B!$C58,0),0))))</f>
        <v/>
      </c>
      <c r="Y60">
        <f>IF(Entradas_B!Z58="N/A",0,IF(Itens_B!$D58="risco",IF(Entradas_B!Z58=Itens_B!$E58,Itens_B!$C58,0),IF(Itens_B!$D58="mitigacao",IF(Entradas_B!Z58="Sim",-Itens_B!$C58,Itens_B!$C58),IF(Itens_B!$D58="evidencia",IF(Entradas_B!Z58="Sim",-Itens_B!$C58,0),0))))</f>
        <v/>
      </c>
      <c r="Z60">
        <f>IF(Entradas_B!AA58="N/A",0,IF(Itens_B!$D58="risco",IF(Entradas_B!AA58=Itens_B!$E58,Itens_B!$C58,0),IF(Itens_B!$D58="mitigacao",IF(Entradas_B!AA58="Sim",-Itens_B!$C58,Itens_B!$C58),IF(Itens_B!$D58="evidencia",IF(Entradas_B!AA58="Sim",-Itens_B!$C58,0),0))))</f>
        <v/>
      </c>
      <c r="AA60">
        <f>IF(Entradas_B!AB58="N/A",0,IF(Itens_B!$D58="risco",IF(Entradas_B!AB58=Itens_B!$E58,Itens_B!$C58,0),IF(Itens_B!$D58="mitigacao",IF(Entradas_B!AB58="Sim",-Itens_B!$C58,Itens_B!$C58),IF(Itens_B!$D58="evidencia",IF(Entradas_B!AB58="Sim",-Itens_B!$C58,0),0))))</f>
        <v/>
      </c>
      <c r="AB60">
        <f>IF(Entradas_B!AC58="N/A",0,IF(Itens_B!$D58="risco",IF(Entradas_B!AC58=Itens_B!$E58,Itens_B!$C58,0),IF(Itens_B!$D58="mitigacao",IF(Entradas_B!AC58="Sim",-Itens_B!$C58,Itens_B!$C58),IF(Itens_B!$D58="evidencia",IF(Entradas_B!AC58="Sim",-Itens_B!$C58,0),0))))</f>
        <v/>
      </c>
      <c r="AC60">
        <f>IF(Entradas_B!AD58="N/A",0,IF(Itens_B!$D58="risco",IF(Entradas_B!AD58=Itens_B!$E58,Itens_B!$C58,0),IF(Itens_B!$D58="mitigacao",IF(Entradas_B!AD58="Sim",-Itens_B!$C58,Itens_B!$C58),IF(Itens_B!$D58="evidencia",IF(Entradas_B!AD58="Sim",-Itens_B!$C58,0),0))))</f>
        <v/>
      </c>
      <c r="AD60">
        <f>IF(Entradas_B!AE58="N/A",0,IF(Itens_B!$D58="risco",IF(Entradas_B!AE58=Itens_B!$E58,Itens_B!$C58,0),IF(Itens_B!$D58="mitigacao",IF(Entradas_B!AE58="Sim",-Itens_B!$C58,Itens_B!$C58),IF(Itens_B!$D58="evidencia",IF(Entradas_B!AE58="Sim",-Itens_B!$C58,0),0))))</f>
        <v/>
      </c>
      <c r="AE60">
        <f>IF(Entradas_B!AF58="N/A",0,IF(Itens_B!$D58="risco",IF(Entradas_B!AF58=Itens_B!$E58,Itens_B!$C58,0),IF(Itens_B!$D58="mitigacao",IF(Entradas_B!AF58="Sim",-Itens_B!$C58,Itens_B!$C58),IF(Itens_B!$D58="evidencia",IF(Entradas_B!AF58="Sim",-Itens_B!$C58,0),0))))</f>
        <v/>
      </c>
      <c r="AF60">
        <f>IF(Entradas_B!AG58="N/A",0,IF(Itens_B!$D58="risco",IF(Entradas_B!AG58=Itens_B!$E58,Itens_B!$C58,0),IF(Itens_B!$D58="mitigacao",IF(Entradas_B!AG58="Sim",-Itens_B!$C58,Itens_B!$C58),IF(Itens_B!$D58="evidencia",IF(Entradas_B!AG58="Sim",-Itens_B!$C58,0),0))))</f>
        <v/>
      </c>
    </row>
    <row r="61">
      <c r="A61" t="inlineStr">
        <is>
          <t>P7.1</t>
        </is>
      </c>
      <c r="B61">
        <f>IF(Entradas_B!C59="N/A",0,IF(Itens_B!$D59="risco",IF(Entradas_B!C59=Itens_B!$E59,Itens_B!$C59,0),IF(Itens_B!$D59="mitigacao",IF(Entradas_B!C59="Sim",-Itens_B!$C59,Itens_B!$C59),IF(Itens_B!$D59="evidencia",IF(Entradas_B!C59="Sim",-Itens_B!$C59,0),0))))</f>
        <v/>
      </c>
      <c r="C61">
        <f>IF(Entradas_B!D59="N/A",0,IF(Itens_B!$D59="risco",IF(Entradas_B!D59=Itens_B!$E59,Itens_B!$C59,0),IF(Itens_B!$D59="mitigacao",IF(Entradas_B!D59="Sim",-Itens_B!$C59,Itens_B!$C59),IF(Itens_B!$D59="evidencia",IF(Entradas_B!D59="Sim",-Itens_B!$C59,0),0))))</f>
        <v/>
      </c>
      <c r="D61">
        <f>IF(Entradas_B!E59="N/A",0,IF(Itens_B!$D59="risco",IF(Entradas_B!E59=Itens_B!$E59,Itens_B!$C59,0),IF(Itens_B!$D59="mitigacao",IF(Entradas_B!E59="Sim",-Itens_B!$C59,Itens_B!$C59),IF(Itens_B!$D59="evidencia",IF(Entradas_B!E59="Sim",-Itens_B!$C59,0),0))))</f>
        <v/>
      </c>
      <c r="E61">
        <f>IF(Entradas_B!F59="N/A",0,IF(Itens_B!$D59="risco",IF(Entradas_B!F59=Itens_B!$E59,Itens_B!$C59,0),IF(Itens_B!$D59="mitigacao",IF(Entradas_B!F59="Sim",-Itens_B!$C59,Itens_B!$C59),IF(Itens_B!$D59="evidencia",IF(Entradas_B!F59="Sim",-Itens_B!$C59,0),0))))</f>
        <v/>
      </c>
      <c r="F61">
        <f>IF(Entradas_B!G59="N/A",0,IF(Itens_B!$D59="risco",IF(Entradas_B!G59=Itens_B!$E59,Itens_B!$C59,0),IF(Itens_B!$D59="mitigacao",IF(Entradas_B!G59="Sim",-Itens_B!$C59,Itens_B!$C59),IF(Itens_B!$D59="evidencia",IF(Entradas_B!G59="Sim",-Itens_B!$C59,0),0))))</f>
        <v/>
      </c>
      <c r="G61">
        <f>IF(Entradas_B!H59="N/A",0,IF(Itens_B!$D59="risco",IF(Entradas_B!H59=Itens_B!$E59,Itens_B!$C59,0),IF(Itens_B!$D59="mitigacao",IF(Entradas_B!H59="Sim",-Itens_B!$C59,Itens_B!$C59),IF(Itens_B!$D59="evidencia",IF(Entradas_B!H59="Sim",-Itens_B!$C59,0),0))))</f>
        <v/>
      </c>
      <c r="H61">
        <f>IF(Entradas_B!I59="N/A",0,IF(Itens_B!$D59="risco",IF(Entradas_B!I59=Itens_B!$E59,Itens_B!$C59,0),IF(Itens_B!$D59="mitigacao",IF(Entradas_B!I59="Sim",-Itens_B!$C59,Itens_B!$C59),IF(Itens_B!$D59="evidencia",IF(Entradas_B!I59="Sim",-Itens_B!$C59,0),0))))</f>
        <v/>
      </c>
      <c r="I61">
        <f>IF(Entradas_B!J59="N/A",0,IF(Itens_B!$D59="risco",IF(Entradas_B!J59=Itens_B!$E59,Itens_B!$C59,0),IF(Itens_B!$D59="mitigacao",IF(Entradas_B!J59="Sim",-Itens_B!$C59,Itens_B!$C59),IF(Itens_B!$D59="evidencia",IF(Entradas_B!J59="Sim",-Itens_B!$C59,0),0))))</f>
        <v/>
      </c>
      <c r="J61">
        <f>IF(Entradas_B!K59="N/A",0,IF(Itens_B!$D59="risco",IF(Entradas_B!K59=Itens_B!$E59,Itens_B!$C59,0),IF(Itens_B!$D59="mitigacao",IF(Entradas_B!K59="Sim",-Itens_B!$C59,Itens_B!$C59),IF(Itens_B!$D59="evidencia",IF(Entradas_B!K59="Sim",-Itens_B!$C59,0),0))))</f>
        <v/>
      </c>
      <c r="K61">
        <f>IF(Entradas_B!L59="N/A",0,IF(Itens_B!$D59="risco",IF(Entradas_B!L59=Itens_B!$E59,Itens_B!$C59,0),IF(Itens_B!$D59="mitigacao",IF(Entradas_B!L59="Sim",-Itens_B!$C59,Itens_B!$C59),IF(Itens_B!$D59="evidencia",IF(Entradas_B!L59="Sim",-Itens_B!$C59,0),0))))</f>
        <v/>
      </c>
      <c r="L61">
        <f>IF(Entradas_B!M59="N/A",0,IF(Itens_B!$D59="risco",IF(Entradas_B!M59=Itens_B!$E59,Itens_B!$C59,0),IF(Itens_B!$D59="mitigacao",IF(Entradas_B!M59="Sim",-Itens_B!$C59,Itens_B!$C59),IF(Itens_B!$D59="evidencia",IF(Entradas_B!M59="Sim",-Itens_B!$C59,0),0))))</f>
        <v/>
      </c>
      <c r="M61">
        <f>IF(Entradas_B!N59="N/A",0,IF(Itens_B!$D59="risco",IF(Entradas_B!N59=Itens_B!$E59,Itens_B!$C59,0),IF(Itens_B!$D59="mitigacao",IF(Entradas_B!N59="Sim",-Itens_B!$C59,Itens_B!$C59),IF(Itens_B!$D59="evidencia",IF(Entradas_B!N59="Sim",-Itens_B!$C59,0),0))))</f>
        <v/>
      </c>
      <c r="N61">
        <f>IF(Entradas_B!O59="N/A",0,IF(Itens_B!$D59="risco",IF(Entradas_B!O59=Itens_B!$E59,Itens_B!$C59,0),IF(Itens_B!$D59="mitigacao",IF(Entradas_B!O59="Sim",-Itens_B!$C59,Itens_B!$C59),IF(Itens_B!$D59="evidencia",IF(Entradas_B!O59="Sim",-Itens_B!$C59,0),0))))</f>
        <v/>
      </c>
      <c r="O61">
        <f>IF(Entradas_B!P59="N/A",0,IF(Itens_B!$D59="risco",IF(Entradas_B!P59=Itens_B!$E59,Itens_B!$C59,0),IF(Itens_B!$D59="mitigacao",IF(Entradas_B!P59="Sim",-Itens_B!$C59,Itens_B!$C59),IF(Itens_B!$D59="evidencia",IF(Entradas_B!P59="Sim",-Itens_B!$C59,0),0))))</f>
        <v/>
      </c>
      <c r="P61">
        <f>IF(Entradas_B!Q59="N/A",0,IF(Itens_B!$D59="risco",IF(Entradas_B!Q59=Itens_B!$E59,Itens_B!$C59,0),IF(Itens_B!$D59="mitigacao",IF(Entradas_B!Q59="Sim",-Itens_B!$C59,Itens_B!$C59),IF(Itens_B!$D59="evidencia",IF(Entradas_B!Q59="Sim",-Itens_B!$C59,0),0))))</f>
        <v/>
      </c>
      <c r="Q61">
        <f>IF(Entradas_B!R59="N/A",0,IF(Itens_B!$D59="risco",IF(Entradas_B!R59=Itens_B!$E59,Itens_B!$C59,0),IF(Itens_B!$D59="mitigacao",IF(Entradas_B!R59="Sim",-Itens_B!$C59,Itens_B!$C59),IF(Itens_B!$D59="evidencia",IF(Entradas_B!R59="Sim",-Itens_B!$C59,0),0))))</f>
        <v/>
      </c>
      <c r="R61">
        <f>IF(Entradas_B!S59="N/A",0,IF(Itens_B!$D59="risco",IF(Entradas_B!S59=Itens_B!$E59,Itens_B!$C59,0),IF(Itens_B!$D59="mitigacao",IF(Entradas_B!S59="Sim",-Itens_B!$C59,Itens_B!$C59),IF(Itens_B!$D59="evidencia",IF(Entradas_B!S59="Sim",-Itens_B!$C59,0),0))))</f>
        <v/>
      </c>
      <c r="S61">
        <f>IF(Entradas_B!T59="N/A",0,IF(Itens_B!$D59="risco",IF(Entradas_B!T59=Itens_B!$E59,Itens_B!$C59,0),IF(Itens_B!$D59="mitigacao",IF(Entradas_B!T59="Sim",-Itens_B!$C59,Itens_B!$C59),IF(Itens_B!$D59="evidencia",IF(Entradas_B!T59="Sim",-Itens_B!$C59,0),0))))</f>
        <v/>
      </c>
      <c r="T61">
        <f>IF(Entradas_B!U59="N/A",0,IF(Itens_B!$D59="risco",IF(Entradas_B!U59=Itens_B!$E59,Itens_B!$C59,0),IF(Itens_B!$D59="mitigacao",IF(Entradas_B!U59="Sim",-Itens_B!$C59,Itens_B!$C59),IF(Itens_B!$D59="evidencia",IF(Entradas_B!U59="Sim",-Itens_B!$C59,0),0))))</f>
        <v/>
      </c>
      <c r="U61">
        <f>IF(Entradas_B!V59="N/A",0,IF(Itens_B!$D59="risco",IF(Entradas_B!V59=Itens_B!$E59,Itens_B!$C59,0),IF(Itens_B!$D59="mitigacao",IF(Entradas_B!V59="Sim",-Itens_B!$C59,Itens_B!$C59),IF(Itens_B!$D59="evidencia",IF(Entradas_B!V59="Sim",-Itens_B!$C59,0),0))))</f>
        <v/>
      </c>
      <c r="V61">
        <f>IF(Entradas_B!W59="N/A",0,IF(Itens_B!$D59="risco",IF(Entradas_B!W59=Itens_B!$E59,Itens_B!$C59,0),IF(Itens_B!$D59="mitigacao",IF(Entradas_B!W59="Sim",-Itens_B!$C59,Itens_B!$C59),IF(Itens_B!$D59="evidencia",IF(Entradas_B!W59="Sim",-Itens_B!$C59,0),0))))</f>
        <v/>
      </c>
      <c r="W61">
        <f>IF(Entradas_B!X59="N/A",0,IF(Itens_B!$D59="risco",IF(Entradas_B!X59=Itens_B!$E59,Itens_B!$C59,0),IF(Itens_B!$D59="mitigacao",IF(Entradas_B!X59="Sim",-Itens_B!$C59,Itens_B!$C59),IF(Itens_B!$D59="evidencia",IF(Entradas_B!X59="Sim",-Itens_B!$C59,0),0))))</f>
        <v/>
      </c>
      <c r="X61">
        <f>IF(Entradas_B!Y59="N/A",0,IF(Itens_B!$D59="risco",IF(Entradas_B!Y59=Itens_B!$E59,Itens_B!$C59,0),IF(Itens_B!$D59="mitigacao",IF(Entradas_B!Y59="Sim",-Itens_B!$C59,Itens_B!$C59),IF(Itens_B!$D59="evidencia",IF(Entradas_B!Y59="Sim",-Itens_B!$C59,0),0))))</f>
        <v/>
      </c>
      <c r="Y61">
        <f>IF(Entradas_B!Z59="N/A",0,IF(Itens_B!$D59="risco",IF(Entradas_B!Z59=Itens_B!$E59,Itens_B!$C59,0),IF(Itens_B!$D59="mitigacao",IF(Entradas_B!Z59="Sim",-Itens_B!$C59,Itens_B!$C59),IF(Itens_B!$D59="evidencia",IF(Entradas_B!Z59="Sim",-Itens_B!$C59,0),0))))</f>
        <v/>
      </c>
      <c r="Z61">
        <f>IF(Entradas_B!AA59="N/A",0,IF(Itens_B!$D59="risco",IF(Entradas_B!AA59=Itens_B!$E59,Itens_B!$C59,0),IF(Itens_B!$D59="mitigacao",IF(Entradas_B!AA59="Sim",-Itens_B!$C59,Itens_B!$C59),IF(Itens_B!$D59="evidencia",IF(Entradas_B!AA59="Sim",-Itens_B!$C59,0),0))))</f>
        <v/>
      </c>
      <c r="AA61">
        <f>IF(Entradas_B!AB59="N/A",0,IF(Itens_B!$D59="risco",IF(Entradas_B!AB59=Itens_B!$E59,Itens_B!$C59,0),IF(Itens_B!$D59="mitigacao",IF(Entradas_B!AB59="Sim",-Itens_B!$C59,Itens_B!$C59),IF(Itens_B!$D59="evidencia",IF(Entradas_B!AB59="Sim",-Itens_B!$C59,0),0))))</f>
        <v/>
      </c>
      <c r="AB61">
        <f>IF(Entradas_B!AC59="N/A",0,IF(Itens_B!$D59="risco",IF(Entradas_B!AC59=Itens_B!$E59,Itens_B!$C59,0),IF(Itens_B!$D59="mitigacao",IF(Entradas_B!AC59="Sim",-Itens_B!$C59,Itens_B!$C59),IF(Itens_B!$D59="evidencia",IF(Entradas_B!AC59="Sim",-Itens_B!$C59,0),0))))</f>
        <v/>
      </c>
      <c r="AC61">
        <f>IF(Entradas_B!AD59="N/A",0,IF(Itens_B!$D59="risco",IF(Entradas_B!AD59=Itens_B!$E59,Itens_B!$C59,0),IF(Itens_B!$D59="mitigacao",IF(Entradas_B!AD59="Sim",-Itens_B!$C59,Itens_B!$C59),IF(Itens_B!$D59="evidencia",IF(Entradas_B!AD59="Sim",-Itens_B!$C59,0),0))))</f>
        <v/>
      </c>
      <c r="AD61">
        <f>IF(Entradas_B!AE59="N/A",0,IF(Itens_B!$D59="risco",IF(Entradas_B!AE59=Itens_B!$E59,Itens_B!$C59,0),IF(Itens_B!$D59="mitigacao",IF(Entradas_B!AE59="Sim",-Itens_B!$C59,Itens_B!$C59),IF(Itens_B!$D59="evidencia",IF(Entradas_B!AE59="Sim",-Itens_B!$C59,0),0))))</f>
        <v/>
      </c>
      <c r="AE61">
        <f>IF(Entradas_B!AF59="N/A",0,IF(Itens_B!$D59="risco",IF(Entradas_B!AF59=Itens_B!$E59,Itens_B!$C59,0),IF(Itens_B!$D59="mitigacao",IF(Entradas_B!AF59="Sim",-Itens_B!$C59,Itens_B!$C59),IF(Itens_B!$D59="evidencia",IF(Entradas_B!AF59="Sim",-Itens_B!$C59,0),0))))</f>
        <v/>
      </c>
      <c r="AF61">
        <f>IF(Entradas_B!AG59="N/A",0,IF(Itens_B!$D59="risco",IF(Entradas_B!AG59=Itens_B!$E59,Itens_B!$C59,0),IF(Itens_B!$D59="mitigacao",IF(Entradas_B!AG59="Sim",-Itens_B!$C59,Itens_B!$C59),IF(Itens_B!$D59="evidencia",IF(Entradas_B!AG59="Sim",-Itens_B!$C59,0),0))))</f>
        <v/>
      </c>
    </row>
    <row r="62">
      <c r="A62" t="inlineStr">
        <is>
          <t>P7.2</t>
        </is>
      </c>
      <c r="B62">
        <f>IF(Entradas_B!C60="N/A",0,IF(Itens_B!$D60="risco",IF(Entradas_B!C60=Itens_B!$E60,Itens_B!$C60,0),IF(Itens_B!$D60="mitigacao",IF(Entradas_B!C60="Sim",-Itens_B!$C60,Itens_B!$C60),IF(Itens_B!$D60="evidencia",IF(Entradas_B!C60="Sim",-Itens_B!$C60,0),0))))</f>
        <v/>
      </c>
      <c r="C62">
        <f>IF(Entradas_B!D60="N/A",0,IF(Itens_B!$D60="risco",IF(Entradas_B!D60=Itens_B!$E60,Itens_B!$C60,0),IF(Itens_B!$D60="mitigacao",IF(Entradas_B!D60="Sim",-Itens_B!$C60,Itens_B!$C60),IF(Itens_B!$D60="evidencia",IF(Entradas_B!D60="Sim",-Itens_B!$C60,0),0))))</f>
        <v/>
      </c>
      <c r="D62">
        <f>IF(Entradas_B!E60="N/A",0,IF(Itens_B!$D60="risco",IF(Entradas_B!E60=Itens_B!$E60,Itens_B!$C60,0),IF(Itens_B!$D60="mitigacao",IF(Entradas_B!E60="Sim",-Itens_B!$C60,Itens_B!$C60),IF(Itens_B!$D60="evidencia",IF(Entradas_B!E60="Sim",-Itens_B!$C60,0),0))))</f>
        <v/>
      </c>
      <c r="E62">
        <f>IF(Entradas_B!F60="N/A",0,IF(Itens_B!$D60="risco",IF(Entradas_B!F60=Itens_B!$E60,Itens_B!$C60,0),IF(Itens_B!$D60="mitigacao",IF(Entradas_B!F60="Sim",-Itens_B!$C60,Itens_B!$C60),IF(Itens_B!$D60="evidencia",IF(Entradas_B!F60="Sim",-Itens_B!$C60,0),0))))</f>
        <v/>
      </c>
      <c r="F62">
        <f>IF(Entradas_B!G60="N/A",0,IF(Itens_B!$D60="risco",IF(Entradas_B!G60=Itens_B!$E60,Itens_B!$C60,0),IF(Itens_B!$D60="mitigacao",IF(Entradas_B!G60="Sim",-Itens_B!$C60,Itens_B!$C60),IF(Itens_B!$D60="evidencia",IF(Entradas_B!G60="Sim",-Itens_B!$C60,0),0))))</f>
        <v/>
      </c>
      <c r="G62">
        <f>IF(Entradas_B!H60="N/A",0,IF(Itens_B!$D60="risco",IF(Entradas_B!H60=Itens_B!$E60,Itens_B!$C60,0),IF(Itens_B!$D60="mitigacao",IF(Entradas_B!H60="Sim",-Itens_B!$C60,Itens_B!$C60),IF(Itens_B!$D60="evidencia",IF(Entradas_B!H60="Sim",-Itens_B!$C60,0),0))))</f>
        <v/>
      </c>
      <c r="H62">
        <f>IF(Entradas_B!I60="N/A",0,IF(Itens_B!$D60="risco",IF(Entradas_B!I60=Itens_B!$E60,Itens_B!$C60,0),IF(Itens_B!$D60="mitigacao",IF(Entradas_B!I60="Sim",-Itens_B!$C60,Itens_B!$C60),IF(Itens_B!$D60="evidencia",IF(Entradas_B!I60="Sim",-Itens_B!$C60,0),0))))</f>
        <v/>
      </c>
      <c r="I62">
        <f>IF(Entradas_B!J60="N/A",0,IF(Itens_B!$D60="risco",IF(Entradas_B!J60=Itens_B!$E60,Itens_B!$C60,0),IF(Itens_B!$D60="mitigacao",IF(Entradas_B!J60="Sim",-Itens_B!$C60,Itens_B!$C60),IF(Itens_B!$D60="evidencia",IF(Entradas_B!J60="Sim",-Itens_B!$C60,0),0))))</f>
        <v/>
      </c>
      <c r="J62">
        <f>IF(Entradas_B!K60="N/A",0,IF(Itens_B!$D60="risco",IF(Entradas_B!K60=Itens_B!$E60,Itens_B!$C60,0),IF(Itens_B!$D60="mitigacao",IF(Entradas_B!K60="Sim",-Itens_B!$C60,Itens_B!$C60),IF(Itens_B!$D60="evidencia",IF(Entradas_B!K60="Sim",-Itens_B!$C60,0),0))))</f>
        <v/>
      </c>
      <c r="K62">
        <f>IF(Entradas_B!L60="N/A",0,IF(Itens_B!$D60="risco",IF(Entradas_B!L60=Itens_B!$E60,Itens_B!$C60,0),IF(Itens_B!$D60="mitigacao",IF(Entradas_B!L60="Sim",-Itens_B!$C60,Itens_B!$C60),IF(Itens_B!$D60="evidencia",IF(Entradas_B!L60="Sim",-Itens_B!$C60,0),0))))</f>
        <v/>
      </c>
      <c r="L62">
        <f>IF(Entradas_B!M60="N/A",0,IF(Itens_B!$D60="risco",IF(Entradas_B!M60=Itens_B!$E60,Itens_B!$C60,0),IF(Itens_B!$D60="mitigacao",IF(Entradas_B!M60="Sim",-Itens_B!$C60,Itens_B!$C60),IF(Itens_B!$D60="evidencia",IF(Entradas_B!M60="Sim",-Itens_B!$C60,0),0))))</f>
        <v/>
      </c>
      <c r="M62">
        <f>IF(Entradas_B!N60="N/A",0,IF(Itens_B!$D60="risco",IF(Entradas_B!N60=Itens_B!$E60,Itens_B!$C60,0),IF(Itens_B!$D60="mitigacao",IF(Entradas_B!N60="Sim",-Itens_B!$C60,Itens_B!$C60),IF(Itens_B!$D60="evidencia",IF(Entradas_B!N60="Sim",-Itens_B!$C60,0),0))))</f>
        <v/>
      </c>
      <c r="N62">
        <f>IF(Entradas_B!O60="N/A",0,IF(Itens_B!$D60="risco",IF(Entradas_B!O60=Itens_B!$E60,Itens_B!$C60,0),IF(Itens_B!$D60="mitigacao",IF(Entradas_B!O60="Sim",-Itens_B!$C60,Itens_B!$C60),IF(Itens_B!$D60="evidencia",IF(Entradas_B!O60="Sim",-Itens_B!$C60,0),0))))</f>
        <v/>
      </c>
      <c r="O62">
        <f>IF(Entradas_B!P60="N/A",0,IF(Itens_B!$D60="risco",IF(Entradas_B!P60=Itens_B!$E60,Itens_B!$C60,0),IF(Itens_B!$D60="mitigacao",IF(Entradas_B!P60="Sim",-Itens_B!$C60,Itens_B!$C60),IF(Itens_B!$D60="evidencia",IF(Entradas_B!P60="Sim",-Itens_B!$C60,0),0))))</f>
        <v/>
      </c>
      <c r="P62">
        <f>IF(Entradas_B!Q60="N/A",0,IF(Itens_B!$D60="risco",IF(Entradas_B!Q60=Itens_B!$E60,Itens_B!$C60,0),IF(Itens_B!$D60="mitigacao",IF(Entradas_B!Q60="Sim",-Itens_B!$C60,Itens_B!$C60),IF(Itens_B!$D60="evidencia",IF(Entradas_B!Q60="Sim",-Itens_B!$C60,0),0))))</f>
        <v/>
      </c>
      <c r="Q62">
        <f>IF(Entradas_B!R60="N/A",0,IF(Itens_B!$D60="risco",IF(Entradas_B!R60=Itens_B!$E60,Itens_B!$C60,0),IF(Itens_B!$D60="mitigacao",IF(Entradas_B!R60="Sim",-Itens_B!$C60,Itens_B!$C60),IF(Itens_B!$D60="evidencia",IF(Entradas_B!R60="Sim",-Itens_B!$C60,0),0))))</f>
        <v/>
      </c>
      <c r="R62">
        <f>IF(Entradas_B!S60="N/A",0,IF(Itens_B!$D60="risco",IF(Entradas_B!S60=Itens_B!$E60,Itens_B!$C60,0),IF(Itens_B!$D60="mitigacao",IF(Entradas_B!S60="Sim",-Itens_B!$C60,Itens_B!$C60),IF(Itens_B!$D60="evidencia",IF(Entradas_B!S60="Sim",-Itens_B!$C60,0),0))))</f>
        <v/>
      </c>
      <c r="S62">
        <f>IF(Entradas_B!T60="N/A",0,IF(Itens_B!$D60="risco",IF(Entradas_B!T60=Itens_B!$E60,Itens_B!$C60,0),IF(Itens_B!$D60="mitigacao",IF(Entradas_B!T60="Sim",-Itens_B!$C60,Itens_B!$C60),IF(Itens_B!$D60="evidencia",IF(Entradas_B!T60="Sim",-Itens_B!$C60,0),0))))</f>
        <v/>
      </c>
      <c r="T62">
        <f>IF(Entradas_B!U60="N/A",0,IF(Itens_B!$D60="risco",IF(Entradas_B!U60=Itens_B!$E60,Itens_B!$C60,0),IF(Itens_B!$D60="mitigacao",IF(Entradas_B!U60="Sim",-Itens_B!$C60,Itens_B!$C60),IF(Itens_B!$D60="evidencia",IF(Entradas_B!U60="Sim",-Itens_B!$C60,0),0))))</f>
        <v/>
      </c>
      <c r="U62">
        <f>IF(Entradas_B!V60="N/A",0,IF(Itens_B!$D60="risco",IF(Entradas_B!V60=Itens_B!$E60,Itens_B!$C60,0),IF(Itens_B!$D60="mitigacao",IF(Entradas_B!V60="Sim",-Itens_B!$C60,Itens_B!$C60),IF(Itens_B!$D60="evidencia",IF(Entradas_B!V60="Sim",-Itens_B!$C60,0),0))))</f>
        <v/>
      </c>
      <c r="V62">
        <f>IF(Entradas_B!W60="N/A",0,IF(Itens_B!$D60="risco",IF(Entradas_B!W60=Itens_B!$E60,Itens_B!$C60,0),IF(Itens_B!$D60="mitigacao",IF(Entradas_B!W60="Sim",-Itens_B!$C60,Itens_B!$C60),IF(Itens_B!$D60="evidencia",IF(Entradas_B!W60="Sim",-Itens_B!$C60,0),0))))</f>
        <v/>
      </c>
      <c r="W62">
        <f>IF(Entradas_B!X60="N/A",0,IF(Itens_B!$D60="risco",IF(Entradas_B!X60=Itens_B!$E60,Itens_B!$C60,0),IF(Itens_B!$D60="mitigacao",IF(Entradas_B!X60="Sim",-Itens_B!$C60,Itens_B!$C60),IF(Itens_B!$D60="evidencia",IF(Entradas_B!X60="Sim",-Itens_B!$C60,0),0))))</f>
        <v/>
      </c>
      <c r="X62">
        <f>IF(Entradas_B!Y60="N/A",0,IF(Itens_B!$D60="risco",IF(Entradas_B!Y60=Itens_B!$E60,Itens_B!$C60,0),IF(Itens_B!$D60="mitigacao",IF(Entradas_B!Y60="Sim",-Itens_B!$C60,Itens_B!$C60),IF(Itens_B!$D60="evidencia",IF(Entradas_B!Y60="Sim",-Itens_B!$C60,0),0))))</f>
        <v/>
      </c>
      <c r="Y62">
        <f>IF(Entradas_B!Z60="N/A",0,IF(Itens_B!$D60="risco",IF(Entradas_B!Z60=Itens_B!$E60,Itens_B!$C60,0),IF(Itens_B!$D60="mitigacao",IF(Entradas_B!Z60="Sim",-Itens_B!$C60,Itens_B!$C60),IF(Itens_B!$D60="evidencia",IF(Entradas_B!Z60="Sim",-Itens_B!$C60,0),0))))</f>
        <v/>
      </c>
      <c r="Z62">
        <f>IF(Entradas_B!AA60="N/A",0,IF(Itens_B!$D60="risco",IF(Entradas_B!AA60=Itens_B!$E60,Itens_B!$C60,0),IF(Itens_B!$D60="mitigacao",IF(Entradas_B!AA60="Sim",-Itens_B!$C60,Itens_B!$C60),IF(Itens_B!$D60="evidencia",IF(Entradas_B!AA60="Sim",-Itens_B!$C60,0),0))))</f>
        <v/>
      </c>
      <c r="AA62">
        <f>IF(Entradas_B!AB60="N/A",0,IF(Itens_B!$D60="risco",IF(Entradas_B!AB60=Itens_B!$E60,Itens_B!$C60,0),IF(Itens_B!$D60="mitigacao",IF(Entradas_B!AB60="Sim",-Itens_B!$C60,Itens_B!$C60),IF(Itens_B!$D60="evidencia",IF(Entradas_B!AB60="Sim",-Itens_B!$C60,0),0))))</f>
        <v/>
      </c>
      <c r="AB62">
        <f>IF(Entradas_B!AC60="N/A",0,IF(Itens_B!$D60="risco",IF(Entradas_B!AC60=Itens_B!$E60,Itens_B!$C60,0),IF(Itens_B!$D60="mitigacao",IF(Entradas_B!AC60="Sim",-Itens_B!$C60,Itens_B!$C60),IF(Itens_B!$D60="evidencia",IF(Entradas_B!AC60="Sim",-Itens_B!$C60,0),0))))</f>
        <v/>
      </c>
      <c r="AC62">
        <f>IF(Entradas_B!AD60="N/A",0,IF(Itens_B!$D60="risco",IF(Entradas_B!AD60=Itens_B!$E60,Itens_B!$C60,0),IF(Itens_B!$D60="mitigacao",IF(Entradas_B!AD60="Sim",-Itens_B!$C60,Itens_B!$C60),IF(Itens_B!$D60="evidencia",IF(Entradas_B!AD60="Sim",-Itens_B!$C60,0),0))))</f>
        <v/>
      </c>
      <c r="AD62">
        <f>IF(Entradas_B!AE60="N/A",0,IF(Itens_B!$D60="risco",IF(Entradas_B!AE60=Itens_B!$E60,Itens_B!$C60,0),IF(Itens_B!$D60="mitigacao",IF(Entradas_B!AE60="Sim",-Itens_B!$C60,Itens_B!$C60),IF(Itens_B!$D60="evidencia",IF(Entradas_B!AE60="Sim",-Itens_B!$C60,0),0))))</f>
        <v/>
      </c>
      <c r="AE62">
        <f>IF(Entradas_B!AF60="N/A",0,IF(Itens_B!$D60="risco",IF(Entradas_B!AF60=Itens_B!$E60,Itens_B!$C60,0),IF(Itens_B!$D60="mitigacao",IF(Entradas_B!AF60="Sim",-Itens_B!$C60,Itens_B!$C60),IF(Itens_B!$D60="evidencia",IF(Entradas_B!AF60="Sim",-Itens_B!$C60,0),0))))</f>
        <v/>
      </c>
      <c r="AF62">
        <f>IF(Entradas_B!AG60="N/A",0,IF(Itens_B!$D60="risco",IF(Entradas_B!AG60=Itens_B!$E60,Itens_B!$C60,0),IF(Itens_B!$D60="mitigacao",IF(Entradas_B!AG60="Sim",-Itens_B!$C60,Itens_B!$C60),IF(Itens_B!$D60="evidencia",IF(Entradas_B!AG60="Sim",-Itens_B!$C60,0),0))))</f>
        <v/>
      </c>
    </row>
    <row r="63">
      <c r="A63" t="inlineStr">
        <is>
          <t>P7.3</t>
        </is>
      </c>
      <c r="B63">
        <f>IF(Entradas_B!C61="N/A",0,IF(Itens_B!$D61="risco",IF(Entradas_B!C61=Itens_B!$E61,Itens_B!$C61,0),IF(Itens_B!$D61="mitigacao",IF(Entradas_B!C61="Sim",-Itens_B!$C61,Itens_B!$C61),IF(Itens_B!$D61="evidencia",IF(Entradas_B!C61="Sim",-Itens_B!$C61,0),0))))</f>
        <v/>
      </c>
      <c r="C63">
        <f>IF(Entradas_B!D61="N/A",0,IF(Itens_B!$D61="risco",IF(Entradas_B!D61=Itens_B!$E61,Itens_B!$C61,0),IF(Itens_B!$D61="mitigacao",IF(Entradas_B!D61="Sim",-Itens_B!$C61,Itens_B!$C61),IF(Itens_B!$D61="evidencia",IF(Entradas_B!D61="Sim",-Itens_B!$C61,0),0))))</f>
        <v/>
      </c>
      <c r="D63">
        <f>IF(Entradas_B!E61="N/A",0,IF(Itens_B!$D61="risco",IF(Entradas_B!E61=Itens_B!$E61,Itens_B!$C61,0),IF(Itens_B!$D61="mitigacao",IF(Entradas_B!E61="Sim",-Itens_B!$C61,Itens_B!$C61),IF(Itens_B!$D61="evidencia",IF(Entradas_B!E61="Sim",-Itens_B!$C61,0),0))))</f>
        <v/>
      </c>
      <c r="E63">
        <f>IF(Entradas_B!F61="N/A",0,IF(Itens_B!$D61="risco",IF(Entradas_B!F61=Itens_B!$E61,Itens_B!$C61,0),IF(Itens_B!$D61="mitigacao",IF(Entradas_B!F61="Sim",-Itens_B!$C61,Itens_B!$C61),IF(Itens_B!$D61="evidencia",IF(Entradas_B!F61="Sim",-Itens_B!$C61,0),0))))</f>
        <v/>
      </c>
      <c r="F63">
        <f>IF(Entradas_B!G61="N/A",0,IF(Itens_B!$D61="risco",IF(Entradas_B!G61=Itens_B!$E61,Itens_B!$C61,0),IF(Itens_B!$D61="mitigacao",IF(Entradas_B!G61="Sim",-Itens_B!$C61,Itens_B!$C61),IF(Itens_B!$D61="evidencia",IF(Entradas_B!G61="Sim",-Itens_B!$C61,0),0))))</f>
        <v/>
      </c>
      <c r="G63">
        <f>IF(Entradas_B!H61="N/A",0,IF(Itens_B!$D61="risco",IF(Entradas_B!H61=Itens_B!$E61,Itens_B!$C61,0),IF(Itens_B!$D61="mitigacao",IF(Entradas_B!H61="Sim",-Itens_B!$C61,Itens_B!$C61),IF(Itens_B!$D61="evidencia",IF(Entradas_B!H61="Sim",-Itens_B!$C61,0),0))))</f>
        <v/>
      </c>
      <c r="H63">
        <f>IF(Entradas_B!I61="N/A",0,IF(Itens_B!$D61="risco",IF(Entradas_B!I61=Itens_B!$E61,Itens_B!$C61,0),IF(Itens_B!$D61="mitigacao",IF(Entradas_B!I61="Sim",-Itens_B!$C61,Itens_B!$C61),IF(Itens_B!$D61="evidencia",IF(Entradas_B!I61="Sim",-Itens_B!$C61,0),0))))</f>
        <v/>
      </c>
      <c r="I63">
        <f>IF(Entradas_B!J61="N/A",0,IF(Itens_B!$D61="risco",IF(Entradas_B!J61=Itens_B!$E61,Itens_B!$C61,0),IF(Itens_B!$D61="mitigacao",IF(Entradas_B!J61="Sim",-Itens_B!$C61,Itens_B!$C61),IF(Itens_B!$D61="evidencia",IF(Entradas_B!J61="Sim",-Itens_B!$C61,0),0))))</f>
        <v/>
      </c>
      <c r="J63">
        <f>IF(Entradas_B!K61="N/A",0,IF(Itens_B!$D61="risco",IF(Entradas_B!K61=Itens_B!$E61,Itens_B!$C61,0),IF(Itens_B!$D61="mitigacao",IF(Entradas_B!K61="Sim",-Itens_B!$C61,Itens_B!$C61),IF(Itens_B!$D61="evidencia",IF(Entradas_B!K61="Sim",-Itens_B!$C61,0),0))))</f>
        <v/>
      </c>
      <c r="K63">
        <f>IF(Entradas_B!L61="N/A",0,IF(Itens_B!$D61="risco",IF(Entradas_B!L61=Itens_B!$E61,Itens_B!$C61,0),IF(Itens_B!$D61="mitigacao",IF(Entradas_B!L61="Sim",-Itens_B!$C61,Itens_B!$C61),IF(Itens_B!$D61="evidencia",IF(Entradas_B!L61="Sim",-Itens_B!$C61,0),0))))</f>
        <v/>
      </c>
      <c r="L63">
        <f>IF(Entradas_B!M61="N/A",0,IF(Itens_B!$D61="risco",IF(Entradas_B!M61=Itens_B!$E61,Itens_B!$C61,0),IF(Itens_B!$D61="mitigacao",IF(Entradas_B!M61="Sim",-Itens_B!$C61,Itens_B!$C61),IF(Itens_B!$D61="evidencia",IF(Entradas_B!M61="Sim",-Itens_B!$C61,0),0))))</f>
        <v/>
      </c>
      <c r="M63">
        <f>IF(Entradas_B!N61="N/A",0,IF(Itens_B!$D61="risco",IF(Entradas_B!N61=Itens_B!$E61,Itens_B!$C61,0),IF(Itens_B!$D61="mitigacao",IF(Entradas_B!N61="Sim",-Itens_B!$C61,Itens_B!$C61),IF(Itens_B!$D61="evidencia",IF(Entradas_B!N61="Sim",-Itens_B!$C61,0),0))))</f>
        <v/>
      </c>
      <c r="N63">
        <f>IF(Entradas_B!O61="N/A",0,IF(Itens_B!$D61="risco",IF(Entradas_B!O61=Itens_B!$E61,Itens_B!$C61,0),IF(Itens_B!$D61="mitigacao",IF(Entradas_B!O61="Sim",-Itens_B!$C61,Itens_B!$C61),IF(Itens_B!$D61="evidencia",IF(Entradas_B!O61="Sim",-Itens_B!$C61,0),0))))</f>
        <v/>
      </c>
      <c r="O63">
        <f>IF(Entradas_B!P61="N/A",0,IF(Itens_B!$D61="risco",IF(Entradas_B!P61=Itens_B!$E61,Itens_B!$C61,0),IF(Itens_B!$D61="mitigacao",IF(Entradas_B!P61="Sim",-Itens_B!$C61,Itens_B!$C61),IF(Itens_B!$D61="evidencia",IF(Entradas_B!P61="Sim",-Itens_B!$C61,0),0))))</f>
        <v/>
      </c>
      <c r="P63">
        <f>IF(Entradas_B!Q61="N/A",0,IF(Itens_B!$D61="risco",IF(Entradas_B!Q61=Itens_B!$E61,Itens_B!$C61,0),IF(Itens_B!$D61="mitigacao",IF(Entradas_B!Q61="Sim",-Itens_B!$C61,Itens_B!$C61),IF(Itens_B!$D61="evidencia",IF(Entradas_B!Q61="Sim",-Itens_B!$C61,0),0))))</f>
        <v/>
      </c>
      <c r="Q63">
        <f>IF(Entradas_B!R61="N/A",0,IF(Itens_B!$D61="risco",IF(Entradas_B!R61=Itens_B!$E61,Itens_B!$C61,0),IF(Itens_B!$D61="mitigacao",IF(Entradas_B!R61="Sim",-Itens_B!$C61,Itens_B!$C61),IF(Itens_B!$D61="evidencia",IF(Entradas_B!R61="Sim",-Itens_B!$C61,0),0))))</f>
        <v/>
      </c>
      <c r="R63">
        <f>IF(Entradas_B!S61="N/A",0,IF(Itens_B!$D61="risco",IF(Entradas_B!S61=Itens_B!$E61,Itens_B!$C61,0),IF(Itens_B!$D61="mitigacao",IF(Entradas_B!S61="Sim",-Itens_B!$C61,Itens_B!$C61),IF(Itens_B!$D61="evidencia",IF(Entradas_B!S61="Sim",-Itens_B!$C61,0),0))))</f>
        <v/>
      </c>
      <c r="S63">
        <f>IF(Entradas_B!T61="N/A",0,IF(Itens_B!$D61="risco",IF(Entradas_B!T61=Itens_B!$E61,Itens_B!$C61,0),IF(Itens_B!$D61="mitigacao",IF(Entradas_B!T61="Sim",-Itens_B!$C61,Itens_B!$C61),IF(Itens_B!$D61="evidencia",IF(Entradas_B!T61="Sim",-Itens_B!$C61,0),0))))</f>
        <v/>
      </c>
      <c r="T63">
        <f>IF(Entradas_B!U61="N/A",0,IF(Itens_B!$D61="risco",IF(Entradas_B!U61=Itens_B!$E61,Itens_B!$C61,0),IF(Itens_B!$D61="mitigacao",IF(Entradas_B!U61="Sim",-Itens_B!$C61,Itens_B!$C61),IF(Itens_B!$D61="evidencia",IF(Entradas_B!U61="Sim",-Itens_B!$C61,0),0))))</f>
        <v/>
      </c>
      <c r="U63">
        <f>IF(Entradas_B!V61="N/A",0,IF(Itens_B!$D61="risco",IF(Entradas_B!V61=Itens_B!$E61,Itens_B!$C61,0),IF(Itens_B!$D61="mitigacao",IF(Entradas_B!V61="Sim",-Itens_B!$C61,Itens_B!$C61),IF(Itens_B!$D61="evidencia",IF(Entradas_B!V61="Sim",-Itens_B!$C61,0),0))))</f>
        <v/>
      </c>
      <c r="V63">
        <f>IF(Entradas_B!W61="N/A",0,IF(Itens_B!$D61="risco",IF(Entradas_B!W61=Itens_B!$E61,Itens_B!$C61,0),IF(Itens_B!$D61="mitigacao",IF(Entradas_B!W61="Sim",-Itens_B!$C61,Itens_B!$C61),IF(Itens_B!$D61="evidencia",IF(Entradas_B!W61="Sim",-Itens_B!$C61,0),0))))</f>
        <v/>
      </c>
      <c r="W63">
        <f>IF(Entradas_B!X61="N/A",0,IF(Itens_B!$D61="risco",IF(Entradas_B!X61=Itens_B!$E61,Itens_B!$C61,0),IF(Itens_B!$D61="mitigacao",IF(Entradas_B!X61="Sim",-Itens_B!$C61,Itens_B!$C61),IF(Itens_B!$D61="evidencia",IF(Entradas_B!X61="Sim",-Itens_B!$C61,0),0))))</f>
        <v/>
      </c>
      <c r="X63">
        <f>IF(Entradas_B!Y61="N/A",0,IF(Itens_B!$D61="risco",IF(Entradas_B!Y61=Itens_B!$E61,Itens_B!$C61,0),IF(Itens_B!$D61="mitigacao",IF(Entradas_B!Y61="Sim",-Itens_B!$C61,Itens_B!$C61),IF(Itens_B!$D61="evidencia",IF(Entradas_B!Y61="Sim",-Itens_B!$C61,0),0))))</f>
        <v/>
      </c>
      <c r="Y63">
        <f>IF(Entradas_B!Z61="N/A",0,IF(Itens_B!$D61="risco",IF(Entradas_B!Z61=Itens_B!$E61,Itens_B!$C61,0),IF(Itens_B!$D61="mitigacao",IF(Entradas_B!Z61="Sim",-Itens_B!$C61,Itens_B!$C61),IF(Itens_B!$D61="evidencia",IF(Entradas_B!Z61="Sim",-Itens_B!$C61,0),0))))</f>
        <v/>
      </c>
      <c r="Z63">
        <f>IF(Entradas_B!AA61="N/A",0,IF(Itens_B!$D61="risco",IF(Entradas_B!AA61=Itens_B!$E61,Itens_B!$C61,0),IF(Itens_B!$D61="mitigacao",IF(Entradas_B!AA61="Sim",-Itens_B!$C61,Itens_B!$C61),IF(Itens_B!$D61="evidencia",IF(Entradas_B!AA61="Sim",-Itens_B!$C61,0),0))))</f>
        <v/>
      </c>
      <c r="AA63">
        <f>IF(Entradas_B!AB61="N/A",0,IF(Itens_B!$D61="risco",IF(Entradas_B!AB61=Itens_B!$E61,Itens_B!$C61,0),IF(Itens_B!$D61="mitigacao",IF(Entradas_B!AB61="Sim",-Itens_B!$C61,Itens_B!$C61),IF(Itens_B!$D61="evidencia",IF(Entradas_B!AB61="Sim",-Itens_B!$C61,0),0))))</f>
        <v/>
      </c>
      <c r="AB63">
        <f>IF(Entradas_B!AC61="N/A",0,IF(Itens_B!$D61="risco",IF(Entradas_B!AC61=Itens_B!$E61,Itens_B!$C61,0),IF(Itens_B!$D61="mitigacao",IF(Entradas_B!AC61="Sim",-Itens_B!$C61,Itens_B!$C61),IF(Itens_B!$D61="evidencia",IF(Entradas_B!AC61="Sim",-Itens_B!$C61,0),0))))</f>
        <v/>
      </c>
      <c r="AC63">
        <f>IF(Entradas_B!AD61="N/A",0,IF(Itens_B!$D61="risco",IF(Entradas_B!AD61=Itens_B!$E61,Itens_B!$C61,0),IF(Itens_B!$D61="mitigacao",IF(Entradas_B!AD61="Sim",-Itens_B!$C61,Itens_B!$C61),IF(Itens_B!$D61="evidencia",IF(Entradas_B!AD61="Sim",-Itens_B!$C61,0),0))))</f>
        <v/>
      </c>
      <c r="AD63">
        <f>IF(Entradas_B!AE61="N/A",0,IF(Itens_B!$D61="risco",IF(Entradas_B!AE61=Itens_B!$E61,Itens_B!$C61,0),IF(Itens_B!$D61="mitigacao",IF(Entradas_B!AE61="Sim",-Itens_B!$C61,Itens_B!$C61),IF(Itens_B!$D61="evidencia",IF(Entradas_B!AE61="Sim",-Itens_B!$C61,0),0))))</f>
        <v/>
      </c>
      <c r="AE63">
        <f>IF(Entradas_B!AF61="N/A",0,IF(Itens_B!$D61="risco",IF(Entradas_B!AF61=Itens_B!$E61,Itens_B!$C61,0),IF(Itens_B!$D61="mitigacao",IF(Entradas_B!AF61="Sim",-Itens_B!$C61,Itens_B!$C61),IF(Itens_B!$D61="evidencia",IF(Entradas_B!AF61="Sim",-Itens_B!$C61,0),0))))</f>
        <v/>
      </c>
      <c r="AF63">
        <f>IF(Entradas_B!AG61="N/A",0,IF(Itens_B!$D61="risco",IF(Entradas_B!AG61=Itens_B!$E61,Itens_B!$C61,0),IF(Itens_B!$D61="mitigacao",IF(Entradas_B!AG61="Sim",-Itens_B!$C61,Itens_B!$C61),IF(Itens_B!$D61="evidencia",IF(Entradas_B!AG61="Sim",-Itens_B!$C61,0),0))))</f>
        <v/>
      </c>
    </row>
    <row r="64">
      <c r="A64" t="inlineStr">
        <is>
          <t>P7.4</t>
        </is>
      </c>
      <c r="B64">
        <f>IF(Entradas_B!C62="N/A",0,IF(Itens_B!$D62="risco",IF(Entradas_B!C62=Itens_B!$E62,Itens_B!$C62,0),IF(Itens_B!$D62="mitigacao",IF(Entradas_B!C62="Sim",-Itens_B!$C62,Itens_B!$C62),IF(Itens_B!$D62="evidencia",IF(Entradas_B!C62="Sim",-Itens_B!$C62,0),0))))</f>
        <v/>
      </c>
      <c r="C64">
        <f>IF(Entradas_B!D62="N/A",0,IF(Itens_B!$D62="risco",IF(Entradas_B!D62=Itens_B!$E62,Itens_B!$C62,0),IF(Itens_B!$D62="mitigacao",IF(Entradas_B!D62="Sim",-Itens_B!$C62,Itens_B!$C62),IF(Itens_B!$D62="evidencia",IF(Entradas_B!D62="Sim",-Itens_B!$C62,0),0))))</f>
        <v/>
      </c>
      <c r="D64">
        <f>IF(Entradas_B!E62="N/A",0,IF(Itens_B!$D62="risco",IF(Entradas_B!E62=Itens_B!$E62,Itens_B!$C62,0),IF(Itens_B!$D62="mitigacao",IF(Entradas_B!E62="Sim",-Itens_B!$C62,Itens_B!$C62),IF(Itens_B!$D62="evidencia",IF(Entradas_B!E62="Sim",-Itens_B!$C62,0),0))))</f>
        <v/>
      </c>
      <c r="E64">
        <f>IF(Entradas_B!F62="N/A",0,IF(Itens_B!$D62="risco",IF(Entradas_B!F62=Itens_B!$E62,Itens_B!$C62,0),IF(Itens_B!$D62="mitigacao",IF(Entradas_B!F62="Sim",-Itens_B!$C62,Itens_B!$C62),IF(Itens_B!$D62="evidencia",IF(Entradas_B!F62="Sim",-Itens_B!$C62,0),0))))</f>
        <v/>
      </c>
      <c r="F64">
        <f>IF(Entradas_B!G62="N/A",0,IF(Itens_B!$D62="risco",IF(Entradas_B!G62=Itens_B!$E62,Itens_B!$C62,0),IF(Itens_B!$D62="mitigacao",IF(Entradas_B!G62="Sim",-Itens_B!$C62,Itens_B!$C62),IF(Itens_B!$D62="evidencia",IF(Entradas_B!G62="Sim",-Itens_B!$C62,0),0))))</f>
        <v/>
      </c>
      <c r="G64">
        <f>IF(Entradas_B!H62="N/A",0,IF(Itens_B!$D62="risco",IF(Entradas_B!H62=Itens_B!$E62,Itens_B!$C62,0),IF(Itens_B!$D62="mitigacao",IF(Entradas_B!H62="Sim",-Itens_B!$C62,Itens_B!$C62),IF(Itens_B!$D62="evidencia",IF(Entradas_B!H62="Sim",-Itens_B!$C62,0),0))))</f>
        <v/>
      </c>
      <c r="H64">
        <f>IF(Entradas_B!I62="N/A",0,IF(Itens_B!$D62="risco",IF(Entradas_B!I62=Itens_B!$E62,Itens_B!$C62,0),IF(Itens_B!$D62="mitigacao",IF(Entradas_B!I62="Sim",-Itens_B!$C62,Itens_B!$C62),IF(Itens_B!$D62="evidencia",IF(Entradas_B!I62="Sim",-Itens_B!$C62,0),0))))</f>
        <v/>
      </c>
      <c r="I64">
        <f>IF(Entradas_B!J62="N/A",0,IF(Itens_B!$D62="risco",IF(Entradas_B!J62=Itens_B!$E62,Itens_B!$C62,0),IF(Itens_B!$D62="mitigacao",IF(Entradas_B!J62="Sim",-Itens_B!$C62,Itens_B!$C62),IF(Itens_B!$D62="evidencia",IF(Entradas_B!J62="Sim",-Itens_B!$C62,0),0))))</f>
        <v/>
      </c>
      <c r="J64">
        <f>IF(Entradas_B!K62="N/A",0,IF(Itens_B!$D62="risco",IF(Entradas_B!K62=Itens_B!$E62,Itens_B!$C62,0),IF(Itens_B!$D62="mitigacao",IF(Entradas_B!K62="Sim",-Itens_B!$C62,Itens_B!$C62),IF(Itens_B!$D62="evidencia",IF(Entradas_B!K62="Sim",-Itens_B!$C62,0),0))))</f>
        <v/>
      </c>
      <c r="K64">
        <f>IF(Entradas_B!L62="N/A",0,IF(Itens_B!$D62="risco",IF(Entradas_B!L62=Itens_B!$E62,Itens_B!$C62,0),IF(Itens_B!$D62="mitigacao",IF(Entradas_B!L62="Sim",-Itens_B!$C62,Itens_B!$C62),IF(Itens_B!$D62="evidencia",IF(Entradas_B!L62="Sim",-Itens_B!$C62,0),0))))</f>
        <v/>
      </c>
      <c r="L64">
        <f>IF(Entradas_B!M62="N/A",0,IF(Itens_B!$D62="risco",IF(Entradas_B!M62=Itens_B!$E62,Itens_B!$C62,0),IF(Itens_B!$D62="mitigacao",IF(Entradas_B!M62="Sim",-Itens_B!$C62,Itens_B!$C62),IF(Itens_B!$D62="evidencia",IF(Entradas_B!M62="Sim",-Itens_B!$C62,0),0))))</f>
        <v/>
      </c>
      <c r="M64">
        <f>IF(Entradas_B!N62="N/A",0,IF(Itens_B!$D62="risco",IF(Entradas_B!N62=Itens_B!$E62,Itens_B!$C62,0),IF(Itens_B!$D62="mitigacao",IF(Entradas_B!N62="Sim",-Itens_B!$C62,Itens_B!$C62),IF(Itens_B!$D62="evidencia",IF(Entradas_B!N62="Sim",-Itens_B!$C62,0),0))))</f>
        <v/>
      </c>
      <c r="N64">
        <f>IF(Entradas_B!O62="N/A",0,IF(Itens_B!$D62="risco",IF(Entradas_B!O62=Itens_B!$E62,Itens_B!$C62,0),IF(Itens_B!$D62="mitigacao",IF(Entradas_B!O62="Sim",-Itens_B!$C62,Itens_B!$C62),IF(Itens_B!$D62="evidencia",IF(Entradas_B!O62="Sim",-Itens_B!$C62,0),0))))</f>
        <v/>
      </c>
      <c r="O64">
        <f>IF(Entradas_B!P62="N/A",0,IF(Itens_B!$D62="risco",IF(Entradas_B!P62=Itens_B!$E62,Itens_B!$C62,0),IF(Itens_B!$D62="mitigacao",IF(Entradas_B!P62="Sim",-Itens_B!$C62,Itens_B!$C62),IF(Itens_B!$D62="evidencia",IF(Entradas_B!P62="Sim",-Itens_B!$C62,0),0))))</f>
        <v/>
      </c>
      <c r="P64">
        <f>IF(Entradas_B!Q62="N/A",0,IF(Itens_B!$D62="risco",IF(Entradas_B!Q62=Itens_B!$E62,Itens_B!$C62,0),IF(Itens_B!$D62="mitigacao",IF(Entradas_B!Q62="Sim",-Itens_B!$C62,Itens_B!$C62),IF(Itens_B!$D62="evidencia",IF(Entradas_B!Q62="Sim",-Itens_B!$C62,0),0))))</f>
        <v/>
      </c>
      <c r="Q64">
        <f>IF(Entradas_B!R62="N/A",0,IF(Itens_B!$D62="risco",IF(Entradas_B!R62=Itens_B!$E62,Itens_B!$C62,0),IF(Itens_B!$D62="mitigacao",IF(Entradas_B!R62="Sim",-Itens_B!$C62,Itens_B!$C62),IF(Itens_B!$D62="evidencia",IF(Entradas_B!R62="Sim",-Itens_B!$C62,0),0))))</f>
        <v/>
      </c>
      <c r="R64">
        <f>IF(Entradas_B!S62="N/A",0,IF(Itens_B!$D62="risco",IF(Entradas_B!S62=Itens_B!$E62,Itens_B!$C62,0),IF(Itens_B!$D62="mitigacao",IF(Entradas_B!S62="Sim",-Itens_B!$C62,Itens_B!$C62),IF(Itens_B!$D62="evidencia",IF(Entradas_B!S62="Sim",-Itens_B!$C62,0),0))))</f>
        <v/>
      </c>
      <c r="S64">
        <f>IF(Entradas_B!T62="N/A",0,IF(Itens_B!$D62="risco",IF(Entradas_B!T62=Itens_B!$E62,Itens_B!$C62,0),IF(Itens_B!$D62="mitigacao",IF(Entradas_B!T62="Sim",-Itens_B!$C62,Itens_B!$C62),IF(Itens_B!$D62="evidencia",IF(Entradas_B!T62="Sim",-Itens_B!$C62,0),0))))</f>
        <v/>
      </c>
      <c r="T64">
        <f>IF(Entradas_B!U62="N/A",0,IF(Itens_B!$D62="risco",IF(Entradas_B!U62=Itens_B!$E62,Itens_B!$C62,0),IF(Itens_B!$D62="mitigacao",IF(Entradas_B!U62="Sim",-Itens_B!$C62,Itens_B!$C62),IF(Itens_B!$D62="evidencia",IF(Entradas_B!U62="Sim",-Itens_B!$C62,0),0))))</f>
        <v/>
      </c>
      <c r="U64">
        <f>IF(Entradas_B!V62="N/A",0,IF(Itens_B!$D62="risco",IF(Entradas_B!V62=Itens_B!$E62,Itens_B!$C62,0),IF(Itens_B!$D62="mitigacao",IF(Entradas_B!V62="Sim",-Itens_B!$C62,Itens_B!$C62),IF(Itens_B!$D62="evidencia",IF(Entradas_B!V62="Sim",-Itens_B!$C62,0),0))))</f>
        <v/>
      </c>
      <c r="V64">
        <f>IF(Entradas_B!W62="N/A",0,IF(Itens_B!$D62="risco",IF(Entradas_B!W62=Itens_B!$E62,Itens_B!$C62,0),IF(Itens_B!$D62="mitigacao",IF(Entradas_B!W62="Sim",-Itens_B!$C62,Itens_B!$C62),IF(Itens_B!$D62="evidencia",IF(Entradas_B!W62="Sim",-Itens_B!$C62,0),0))))</f>
        <v/>
      </c>
      <c r="W64">
        <f>IF(Entradas_B!X62="N/A",0,IF(Itens_B!$D62="risco",IF(Entradas_B!X62=Itens_B!$E62,Itens_B!$C62,0),IF(Itens_B!$D62="mitigacao",IF(Entradas_B!X62="Sim",-Itens_B!$C62,Itens_B!$C62),IF(Itens_B!$D62="evidencia",IF(Entradas_B!X62="Sim",-Itens_B!$C62,0),0))))</f>
        <v/>
      </c>
      <c r="X64">
        <f>IF(Entradas_B!Y62="N/A",0,IF(Itens_B!$D62="risco",IF(Entradas_B!Y62=Itens_B!$E62,Itens_B!$C62,0),IF(Itens_B!$D62="mitigacao",IF(Entradas_B!Y62="Sim",-Itens_B!$C62,Itens_B!$C62),IF(Itens_B!$D62="evidencia",IF(Entradas_B!Y62="Sim",-Itens_B!$C62,0),0))))</f>
        <v/>
      </c>
      <c r="Y64">
        <f>IF(Entradas_B!Z62="N/A",0,IF(Itens_B!$D62="risco",IF(Entradas_B!Z62=Itens_B!$E62,Itens_B!$C62,0),IF(Itens_B!$D62="mitigacao",IF(Entradas_B!Z62="Sim",-Itens_B!$C62,Itens_B!$C62),IF(Itens_B!$D62="evidencia",IF(Entradas_B!Z62="Sim",-Itens_B!$C62,0),0))))</f>
        <v/>
      </c>
      <c r="Z64">
        <f>IF(Entradas_B!AA62="N/A",0,IF(Itens_B!$D62="risco",IF(Entradas_B!AA62=Itens_B!$E62,Itens_B!$C62,0),IF(Itens_B!$D62="mitigacao",IF(Entradas_B!AA62="Sim",-Itens_B!$C62,Itens_B!$C62),IF(Itens_B!$D62="evidencia",IF(Entradas_B!AA62="Sim",-Itens_B!$C62,0),0))))</f>
        <v/>
      </c>
      <c r="AA64">
        <f>IF(Entradas_B!AB62="N/A",0,IF(Itens_B!$D62="risco",IF(Entradas_B!AB62=Itens_B!$E62,Itens_B!$C62,0),IF(Itens_B!$D62="mitigacao",IF(Entradas_B!AB62="Sim",-Itens_B!$C62,Itens_B!$C62),IF(Itens_B!$D62="evidencia",IF(Entradas_B!AB62="Sim",-Itens_B!$C62,0),0))))</f>
        <v/>
      </c>
      <c r="AB64">
        <f>IF(Entradas_B!AC62="N/A",0,IF(Itens_B!$D62="risco",IF(Entradas_B!AC62=Itens_B!$E62,Itens_B!$C62,0),IF(Itens_B!$D62="mitigacao",IF(Entradas_B!AC62="Sim",-Itens_B!$C62,Itens_B!$C62),IF(Itens_B!$D62="evidencia",IF(Entradas_B!AC62="Sim",-Itens_B!$C62,0),0))))</f>
        <v/>
      </c>
      <c r="AC64">
        <f>IF(Entradas_B!AD62="N/A",0,IF(Itens_B!$D62="risco",IF(Entradas_B!AD62=Itens_B!$E62,Itens_B!$C62,0),IF(Itens_B!$D62="mitigacao",IF(Entradas_B!AD62="Sim",-Itens_B!$C62,Itens_B!$C62),IF(Itens_B!$D62="evidencia",IF(Entradas_B!AD62="Sim",-Itens_B!$C62,0),0))))</f>
        <v/>
      </c>
      <c r="AD64">
        <f>IF(Entradas_B!AE62="N/A",0,IF(Itens_B!$D62="risco",IF(Entradas_B!AE62=Itens_B!$E62,Itens_B!$C62,0),IF(Itens_B!$D62="mitigacao",IF(Entradas_B!AE62="Sim",-Itens_B!$C62,Itens_B!$C62),IF(Itens_B!$D62="evidencia",IF(Entradas_B!AE62="Sim",-Itens_B!$C62,0),0))))</f>
        <v/>
      </c>
      <c r="AE64">
        <f>IF(Entradas_B!AF62="N/A",0,IF(Itens_B!$D62="risco",IF(Entradas_B!AF62=Itens_B!$E62,Itens_B!$C62,0),IF(Itens_B!$D62="mitigacao",IF(Entradas_B!AF62="Sim",-Itens_B!$C62,Itens_B!$C62),IF(Itens_B!$D62="evidencia",IF(Entradas_B!AF62="Sim",-Itens_B!$C62,0),0))))</f>
        <v/>
      </c>
      <c r="AF64">
        <f>IF(Entradas_B!AG62="N/A",0,IF(Itens_B!$D62="risco",IF(Entradas_B!AG62=Itens_B!$E62,Itens_B!$C62,0),IF(Itens_B!$D62="mitigacao",IF(Entradas_B!AG62="Sim",-Itens_B!$C62,Itens_B!$C62),IF(Itens_B!$D62="evidencia",IF(Entradas_B!AG62="Sim",-Itens_B!$C62,0),0))))</f>
        <v/>
      </c>
    </row>
    <row r="65">
      <c r="A65" t="inlineStr">
        <is>
          <t>P7.5</t>
        </is>
      </c>
      <c r="B65">
        <f>IF(Entradas_B!C63="N/A",0,IF(Itens_B!$D63="risco",IF(Entradas_B!C63=Itens_B!$E63,Itens_B!$C63,0),IF(Itens_B!$D63="mitigacao",IF(Entradas_B!C63="Sim",-Itens_B!$C63,Itens_B!$C63),IF(Itens_B!$D63="evidencia",IF(Entradas_B!C63="Sim",-Itens_B!$C63,0),0))))</f>
        <v/>
      </c>
      <c r="C65">
        <f>IF(Entradas_B!D63="N/A",0,IF(Itens_B!$D63="risco",IF(Entradas_B!D63=Itens_B!$E63,Itens_B!$C63,0),IF(Itens_B!$D63="mitigacao",IF(Entradas_B!D63="Sim",-Itens_B!$C63,Itens_B!$C63),IF(Itens_B!$D63="evidencia",IF(Entradas_B!D63="Sim",-Itens_B!$C63,0),0))))</f>
        <v/>
      </c>
      <c r="D65">
        <f>IF(Entradas_B!E63="N/A",0,IF(Itens_B!$D63="risco",IF(Entradas_B!E63=Itens_B!$E63,Itens_B!$C63,0),IF(Itens_B!$D63="mitigacao",IF(Entradas_B!E63="Sim",-Itens_B!$C63,Itens_B!$C63),IF(Itens_B!$D63="evidencia",IF(Entradas_B!E63="Sim",-Itens_B!$C63,0),0))))</f>
        <v/>
      </c>
      <c r="E65">
        <f>IF(Entradas_B!F63="N/A",0,IF(Itens_B!$D63="risco",IF(Entradas_B!F63=Itens_B!$E63,Itens_B!$C63,0),IF(Itens_B!$D63="mitigacao",IF(Entradas_B!F63="Sim",-Itens_B!$C63,Itens_B!$C63),IF(Itens_B!$D63="evidencia",IF(Entradas_B!F63="Sim",-Itens_B!$C63,0),0))))</f>
        <v/>
      </c>
      <c r="F65">
        <f>IF(Entradas_B!G63="N/A",0,IF(Itens_B!$D63="risco",IF(Entradas_B!G63=Itens_B!$E63,Itens_B!$C63,0),IF(Itens_B!$D63="mitigacao",IF(Entradas_B!G63="Sim",-Itens_B!$C63,Itens_B!$C63),IF(Itens_B!$D63="evidencia",IF(Entradas_B!G63="Sim",-Itens_B!$C63,0),0))))</f>
        <v/>
      </c>
      <c r="G65">
        <f>IF(Entradas_B!H63="N/A",0,IF(Itens_B!$D63="risco",IF(Entradas_B!H63=Itens_B!$E63,Itens_B!$C63,0),IF(Itens_B!$D63="mitigacao",IF(Entradas_B!H63="Sim",-Itens_B!$C63,Itens_B!$C63),IF(Itens_B!$D63="evidencia",IF(Entradas_B!H63="Sim",-Itens_B!$C63,0),0))))</f>
        <v/>
      </c>
      <c r="H65">
        <f>IF(Entradas_B!I63="N/A",0,IF(Itens_B!$D63="risco",IF(Entradas_B!I63=Itens_B!$E63,Itens_B!$C63,0),IF(Itens_B!$D63="mitigacao",IF(Entradas_B!I63="Sim",-Itens_B!$C63,Itens_B!$C63),IF(Itens_B!$D63="evidencia",IF(Entradas_B!I63="Sim",-Itens_B!$C63,0),0))))</f>
        <v/>
      </c>
      <c r="I65">
        <f>IF(Entradas_B!J63="N/A",0,IF(Itens_B!$D63="risco",IF(Entradas_B!J63=Itens_B!$E63,Itens_B!$C63,0),IF(Itens_B!$D63="mitigacao",IF(Entradas_B!J63="Sim",-Itens_B!$C63,Itens_B!$C63),IF(Itens_B!$D63="evidencia",IF(Entradas_B!J63="Sim",-Itens_B!$C63,0),0))))</f>
        <v/>
      </c>
      <c r="J65">
        <f>IF(Entradas_B!K63="N/A",0,IF(Itens_B!$D63="risco",IF(Entradas_B!K63=Itens_B!$E63,Itens_B!$C63,0),IF(Itens_B!$D63="mitigacao",IF(Entradas_B!K63="Sim",-Itens_B!$C63,Itens_B!$C63),IF(Itens_B!$D63="evidencia",IF(Entradas_B!K63="Sim",-Itens_B!$C63,0),0))))</f>
        <v/>
      </c>
      <c r="K65">
        <f>IF(Entradas_B!L63="N/A",0,IF(Itens_B!$D63="risco",IF(Entradas_B!L63=Itens_B!$E63,Itens_B!$C63,0),IF(Itens_B!$D63="mitigacao",IF(Entradas_B!L63="Sim",-Itens_B!$C63,Itens_B!$C63),IF(Itens_B!$D63="evidencia",IF(Entradas_B!L63="Sim",-Itens_B!$C63,0),0))))</f>
        <v/>
      </c>
      <c r="L65">
        <f>IF(Entradas_B!M63="N/A",0,IF(Itens_B!$D63="risco",IF(Entradas_B!M63=Itens_B!$E63,Itens_B!$C63,0),IF(Itens_B!$D63="mitigacao",IF(Entradas_B!M63="Sim",-Itens_B!$C63,Itens_B!$C63),IF(Itens_B!$D63="evidencia",IF(Entradas_B!M63="Sim",-Itens_B!$C63,0),0))))</f>
        <v/>
      </c>
      <c r="M65">
        <f>IF(Entradas_B!N63="N/A",0,IF(Itens_B!$D63="risco",IF(Entradas_B!N63=Itens_B!$E63,Itens_B!$C63,0),IF(Itens_B!$D63="mitigacao",IF(Entradas_B!N63="Sim",-Itens_B!$C63,Itens_B!$C63),IF(Itens_B!$D63="evidencia",IF(Entradas_B!N63="Sim",-Itens_B!$C63,0),0))))</f>
        <v/>
      </c>
      <c r="N65">
        <f>IF(Entradas_B!O63="N/A",0,IF(Itens_B!$D63="risco",IF(Entradas_B!O63=Itens_B!$E63,Itens_B!$C63,0),IF(Itens_B!$D63="mitigacao",IF(Entradas_B!O63="Sim",-Itens_B!$C63,Itens_B!$C63),IF(Itens_B!$D63="evidencia",IF(Entradas_B!O63="Sim",-Itens_B!$C63,0),0))))</f>
        <v/>
      </c>
      <c r="O65">
        <f>IF(Entradas_B!P63="N/A",0,IF(Itens_B!$D63="risco",IF(Entradas_B!P63=Itens_B!$E63,Itens_B!$C63,0),IF(Itens_B!$D63="mitigacao",IF(Entradas_B!P63="Sim",-Itens_B!$C63,Itens_B!$C63),IF(Itens_B!$D63="evidencia",IF(Entradas_B!P63="Sim",-Itens_B!$C63,0),0))))</f>
        <v/>
      </c>
      <c r="P65">
        <f>IF(Entradas_B!Q63="N/A",0,IF(Itens_B!$D63="risco",IF(Entradas_B!Q63=Itens_B!$E63,Itens_B!$C63,0),IF(Itens_B!$D63="mitigacao",IF(Entradas_B!Q63="Sim",-Itens_B!$C63,Itens_B!$C63),IF(Itens_B!$D63="evidencia",IF(Entradas_B!Q63="Sim",-Itens_B!$C63,0),0))))</f>
        <v/>
      </c>
      <c r="Q65">
        <f>IF(Entradas_B!R63="N/A",0,IF(Itens_B!$D63="risco",IF(Entradas_B!R63=Itens_B!$E63,Itens_B!$C63,0),IF(Itens_B!$D63="mitigacao",IF(Entradas_B!R63="Sim",-Itens_B!$C63,Itens_B!$C63),IF(Itens_B!$D63="evidencia",IF(Entradas_B!R63="Sim",-Itens_B!$C63,0),0))))</f>
        <v/>
      </c>
      <c r="R65">
        <f>IF(Entradas_B!S63="N/A",0,IF(Itens_B!$D63="risco",IF(Entradas_B!S63=Itens_B!$E63,Itens_B!$C63,0),IF(Itens_B!$D63="mitigacao",IF(Entradas_B!S63="Sim",-Itens_B!$C63,Itens_B!$C63),IF(Itens_B!$D63="evidencia",IF(Entradas_B!S63="Sim",-Itens_B!$C63,0),0))))</f>
        <v/>
      </c>
      <c r="S65">
        <f>IF(Entradas_B!T63="N/A",0,IF(Itens_B!$D63="risco",IF(Entradas_B!T63=Itens_B!$E63,Itens_B!$C63,0),IF(Itens_B!$D63="mitigacao",IF(Entradas_B!T63="Sim",-Itens_B!$C63,Itens_B!$C63),IF(Itens_B!$D63="evidencia",IF(Entradas_B!T63="Sim",-Itens_B!$C63,0),0))))</f>
        <v/>
      </c>
      <c r="T65">
        <f>IF(Entradas_B!U63="N/A",0,IF(Itens_B!$D63="risco",IF(Entradas_B!U63=Itens_B!$E63,Itens_B!$C63,0),IF(Itens_B!$D63="mitigacao",IF(Entradas_B!U63="Sim",-Itens_B!$C63,Itens_B!$C63),IF(Itens_B!$D63="evidencia",IF(Entradas_B!U63="Sim",-Itens_B!$C63,0),0))))</f>
        <v/>
      </c>
      <c r="U65">
        <f>IF(Entradas_B!V63="N/A",0,IF(Itens_B!$D63="risco",IF(Entradas_B!V63=Itens_B!$E63,Itens_B!$C63,0),IF(Itens_B!$D63="mitigacao",IF(Entradas_B!V63="Sim",-Itens_B!$C63,Itens_B!$C63),IF(Itens_B!$D63="evidencia",IF(Entradas_B!V63="Sim",-Itens_B!$C63,0),0))))</f>
        <v/>
      </c>
      <c r="V65">
        <f>IF(Entradas_B!W63="N/A",0,IF(Itens_B!$D63="risco",IF(Entradas_B!W63=Itens_B!$E63,Itens_B!$C63,0),IF(Itens_B!$D63="mitigacao",IF(Entradas_B!W63="Sim",-Itens_B!$C63,Itens_B!$C63),IF(Itens_B!$D63="evidencia",IF(Entradas_B!W63="Sim",-Itens_B!$C63,0),0))))</f>
        <v/>
      </c>
      <c r="W65">
        <f>IF(Entradas_B!X63="N/A",0,IF(Itens_B!$D63="risco",IF(Entradas_B!X63=Itens_B!$E63,Itens_B!$C63,0),IF(Itens_B!$D63="mitigacao",IF(Entradas_B!X63="Sim",-Itens_B!$C63,Itens_B!$C63),IF(Itens_B!$D63="evidencia",IF(Entradas_B!X63="Sim",-Itens_B!$C63,0),0))))</f>
        <v/>
      </c>
      <c r="X65">
        <f>IF(Entradas_B!Y63="N/A",0,IF(Itens_B!$D63="risco",IF(Entradas_B!Y63=Itens_B!$E63,Itens_B!$C63,0),IF(Itens_B!$D63="mitigacao",IF(Entradas_B!Y63="Sim",-Itens_B!$C63,Itens_B!$C63),IF(Itens_B!$D63="evidencia",IF(Entradas_B!Y63="Sim",-Itens_B!$C63,0),0))))</f>
        <v/>
      </c>
      <c r="Y65">
        <f>IF(Entradas_B!Z63="N/A",0,IF(Itens_B!$D63="risco",IF(Entradas_B!Z63=Itens_B!$E63,Itens_B!$C63,0),IF(Itens_B!$D63="mitigacao",IF(Entradas_B!Z63="Sim",-Itens_B!$C63,Itens_B!$C63),IF(Itens_B!$D63="evidencia",IF(Entradas_B!Z63="Sim",-Itens_B!$C63,0),0))))</f>
        <v/>
      </c>
      <c r="Z65">
        <f>IF(Entradas_B!AA63="N/A",0,IF(Itens_B!$D63="risco",IF(Entradas_B!AA63=Itens_B!$E63,Itens_B!$C63,0),IF(Itens_B!$D63="mitigacao",IF(Entradas_B!AA63="Sim",-Itens_B!$C63,Itens_B!$C63),IF(Itens_B!$D63="evidencia",IF(Entradas_B!AA63="Sim",-Itens_B!$C63,0),0))))</f>
        <v/>
      </c>
      <c r="AA65">
        <f>IF(Entradas_B!AB63="N/A",0,IF(Itens_B!$D63="risco",IF(Entradas_B!AB63=Itens_B!$E63,Itens_B!$C63,0),IF(Itens_B!$D63="mitigacao",IF(Entradas_B!AB63="Sim",-Itens_B!$C63,Itens_B!$C63),IF(Itens_B!$D63="evidencia",IF(Entradas_B!AB63="Sim",-Itens_B!$C63,0),0))))</f>
        <v/>
      </c>
      <c r="AB65">
        <f>IF(Entradas_B!AC63="N/A",0,IF(Itens_B!$D63="risco",IF(Entradas_B!AC63=Itens_B!$E63,Itens_B!$C63,0),IF(Itens_B!$D63="mitigacao",IF(Entradas_B!AC63="Sim",-Itens_B!$C63,Itens_B!$C63),IF(Itens_B!$D63="evidencia",IF(Entradas_B!AC63="Sim",-Itens_B!$C63,0),0))))</f>
        <v/>
      </c>
      <c r="AC65">
        <f>IF(Entradas_B!AD63="N/A",0,IF(Itens_B!$D63="risco",IF(Entradas_B!AD63=Itens_B!$E63,Itens_B!$C63,0),IF(Itens_B!$D63="mitigacao",IF(Entradas_B!AD63="Sim",-Itens_B!$C63,Itens_B!$C63),IF(Itens_B!$D63="evidencia",IF(Entradas_B!AD63="Sim",-Itens_B!$C63,0),0))))</f>
        <v/>
      </c>
      <c r="AD65">
        <f>IF(Entradas_B!AE63="N/A",0,IF(Itens_B!$D63="risco",IF(Entradas_B!AE63=Itens_B!$E63,Itens_B!$C63,0),IF(Itens_B!$D63="mitigacao",IF(Entradas_B!AE63="Sim",-Itens_B!$C63,Itens_B!$C63),IF(Itens_B!$D63="evidencia",IF(Entradas_B!AE63="Sim",-Itens_B!$C63,0),0))))</f>
        <v/>
      </c>
      <c r="AE65">
        <f>IF(Entradas_B!AF63="N/A",0,IF(Itens_B!$D63="risco",IF(Entradas_B!AF63=Itens_B!$E63,Itens_B!$C63,0),IF(Itens_B!$D63="mitigacao",IF(Entradas_B!AF63="Sim",-Itens_B!$C63,Itens_B!$C63),IF(Itens_B!$D63="evidencia",IF(Entradas_B!AF63="Sim",-Itens_B!$C63,0),0))))</f>
        <v/>
      </c>
      <c r="AF65">
        <f>IF(Entradas_B!AG63="N/A",0,IF(Itens_B!$D63="risco",IF(Entradas_B!AG63=Itens_B!$E63,Itens_B!$C63,0),IF(Itens_B!$D63="mitigacao",IF(Entradas_B!AG63="Sim",-Itens_B!$C63,Itens_B!$C63),IF(Itens_B!$D63="evidencia",IF(Entradas_B!AG63="Sim",-Itens_B!$C63,0),0))))</f>
        <v/>
      </c>
    </row>
    <row r="66">
      <c r="A66" t="inlineStr">
        <is>
          <t>P7.6</t>
        </is>
      </c>
      <c r="B66">
        <f>IF(Entradas_B!C64="N/A",0,IF(Itens_B!$D64="risco",IF(Entradas_B!C64=Itens_B!$E64,Itens_B!$C64,0),IF(Itens_B!$D64="mitigacao",IF(Entradas_B!C64="Sim",-Itens_B!$C64,Itens_B!$C64),IF(Itens_B!$D64="evidencia",IF(Entradas_B!C64="Sim",-Itens_B!$C64,0),0))))</f>
        <v/>
      </c>
      <c r="C66">
        <f>IF(Entradas_B!D64="N/A",0,IF(Itens_B!$D64="risco",IF(Entradas_B!D64=Itens_B!$E64,Itens_B!$C64,0),IF(Itens_B!$D64="mitigacao",IF(Entradas_B!D64="Sim",-Itens_B!$C64,Itens_B!$C64),IF(Itens_B!$D64="evidencia",IF(Entradas_B!D64="Sim",-Itens_B!$C64,0),0))))</f>
        <v/>
      </c>
      <c r="D66">
        <f>IF(Entradas_B!E64="N/A",0,IF(Itens_B!$D64="risco",IF(Entradas_B!E64=Itens_B!$E64,Itens_B!$C64,0),IF(Itens_B!$D64="mitigacao",IF(Entradas_B!E64="Sim",-Itens_B!$C64,Itens_B!$C64),IF(Itens_B!$D64="evidencia",IF(Entradas_B!E64="Sim",-Itens_B!$C64,0),0))))</f>
        <v/>
      </c>
      <c r="E66">
        <f>IF(Entradas_B!F64="N/A",0,IF(Itens_B!$D64="risco",IF(Entradas_B!F64=Itens_B!$E64,Itens_B!$C64,0),IF(Itens_B!$D64="mitigacao",IF(Entradas_B!F64="Sim",-Itens_B!$C64,Itens_B!$C64),IF(Itens_B!$D64="evidencia",IF(Entradas_B!F64="Sim",-Itens_B!$C64,0),0))))</f>
        <v/>
      </c>
      <c r="F66">
        <f>IF(Entradas_B!G64="N/A",0,IF(Itens_B!$D64="risco",IF(Entradas_B!G64=Itens_B!$E64,Itens_B!$C64,0),IF(Itens_B!$D64="mitigacao",IF(Entradas_B!G64="Sim",-Itens_B!$C64,Itens_B!$C64),IF(Itens_B!$D64="evidencia",IF(Entradas_B!G64="Sim",-Itens_B!$C64,0),0))))</f>
        <v/>
      </c>
      <c r="G66">
        <f>IF(Entradas_B!H64="N/A",0,IF(Itens_B!$D64="risco",IF(Entradas_B!H64=Itens_B!$E64,Itens_B!$C64,0),IF(Itens_B!$D64="mitigacao",IF(Entradas_B!H64="Sim",-Itens_B!$C64,Itens_B!$C64),IF(Itens_B!$D64="evidencia",IF(Entradas_B!H64="Sim",-Itens_B!$C64,0),0))))</f>
        <v/>
      </c>
      <c r="H66">
        <f>IF(Entradas_B!I64="N/A",0,IF(Itens_B!$D64="risco",IF(Entradas_B!I64=Itens_B!$E64,Itens_B!$C64,0),IF(Itens_B!$D64="mitigacao",IF(Entradas_B!I64="Sim",-Itens_B!$C64,Itens_B!$C64),IF(Itens_B!$D64="evidencia",IF(Entradas_B!I64="Sim",-Itens_B!$C64,0),0))))</f>
        <v/>
      </c>
      <c r="I66">
        <f>IF(Entradas_B!J64="N/A",0,IF(Itens_B!$D64="risco",IF(Entradas_B!J64=Itens_B!$E64,Itens_B!$C64,0),IF(Itens_B!$D64="mitigacao",IF(Entradas_B!J64="Sim",-Itens_B!$C64,Itens_B!$C64),IF(Itens_B!$D64="evidencia",IF(Entradas_B!J64="Sim",-Itens_B!$C64,0),0))))</f>
        <v/>
      </c>
      <c r="J66">
        <f>IF(Entradas_B!K64="N/A",0,IF(Itens_B!$D64="risco",IF(Entradas_B!K64=Itens_B!$E64,Itens_B!$C64,0),IF(Itens_B!$D64="mitigacao",IF(Entradas_B!K64="Sim",-Itens_B!$C64,Itens_B!$C64),IF(Itens_B!$D64="evidencia",IF(Entradas_B!K64="Sim",-Itens_B!$C64,0),0))))</f>
        <v/>
      </c>
      <c r="K66">
        <f>IF(Entradas_B!L64="N/A",0,IF(Itens_B!$D64="risco",IF(Entradas_B!L64=Itens_B!$E64,Itens_B!$C64,0),IF(Itens_B!$D64="mitigacao",IF(Entradas_B!L64="Sim",-Itens_B!$C64,Itens_B!$C64),IF(Itens_B!$D64="evidencia",IF(Entradas_B!L64="Sim",-Itens_B!$C64,0),0))))</f>
        <v/>
      </c>
      <c r="L66">
        <f>IF(Entradas_B!M64="N/A",0,IF(Itens_B!$D64="risco",IF(Entradas_B!M64=Itens_B!$E64,Itens_B!$C64,0),IF(Itens_B!$D64="mitigacao",IF(Entradas_B!M64="Sim",-Itens_B!$C64,Itens_B!$C64),IF(Itens_B!$D64="evidencia",IF(Entradas_B!M64="Sim",-Itens_B!$C64,0),0))))</f>
        <v/>
      </c>
      <c r="M66">
        <f>IF(Entradas_B!N64="N/A",0,IF(Itens_B!$D64="risco",IF(Entradas_B!N64=Itens_B!$E64,Itens_B!$C64,0),IF(Itens_B!$D64="mitigacao",IF(Entradas_B!N64="Sim",-Itens_B!$C64,Itens_B!$C64),IF(Itens_B!$D64="evidencia",IF(Entradas_B!N64="Sim",-Itens_B!$C64,0),0))))</f>
        <v/>
      </c>
      <c r="N66">
        <f>IF(Entradas_B!O64="N/A",0,IF(Itens_B!$D64="risco",IF(Entradas_B!O64=Itens_B!$E64,Itens_B!$C64,0),IF(Itens_B!$D64="mitigacao",IF(Entradas_B!O64="Sim",-Itens_B!$C64,Itens_B!$C64),IF(Itens_B!$D64="evidencia",IF(Entradas_B!O64="Sim",-Itens_B!$C64,0),0))))</f>
        <v/>
      </c>
      <c r="O66">
        <f>IF(Entradas_B!P64="N/A",0,IF(Itens_B!$D64="risco",IF(Entradas_B!P64=Itens_B!$E64,Itens_B!$C64,0),IF(Itens_B!$D64="mitigacao",IF(Entradas_B!P64="Sim",-Itens_B!$C64,Itens_B!$C64),IF(Itens_B!$D64="evidencia",IF(Entradas_B!P64="Sim",-Itens_B!$C64,0),0))))</f>
        <v/>
      </c>
      <c r="P66">
        <f>IF(Entradas_B!Q64="N/A",0,IF(Itens_B!$D64="risco",IF(Entradas_B!Q64=Itens_B!$E64,Itens_B!$C64,0),IF(Itens_B!$D64="mitigacao",IF(Entradas_B!Q64="Sim",-Itens_B!$C64,Itens_B!$C64),IF(Itens_B!$D64="evidencia",IF(Entradas_B!Q64="Sim",-Itens_B!$C64,0),0))))</f>
        <v/>
      </c>
      <c r="Q66">
        <f>IF(Entradas_B!R64="N/A",0,IF(Itens_B!$D64="risco",IF(Entradas_B!R64=Itens_B!$E64,Itens_B!$C64,0),IF(Itens_B!$D64="mitigacao",IF(Entradas_B!R64="Sim",-Itens_B!$C64,Itens_B!$C64),IF(Itens_B!$D64="evidencia",IF(Entradas_B!R64="Sim",-Itens_B!$C64,0),0))))</f>
        <v/>
      </c>
      <c r="R66">
        <f>IF(Entradas_B!S64="N/A",0,IF(Itens_B!$D64="risco",IF(Entradas_B!S64=Itens_B!$E64,Itens_B!$C64,0),IF(Itens_B!$D64="mitigacao",IF(Entradas_B!S64="Sim",-Itens_B!$C64,Itens_B!$C64),IF(Itens_B!$D64="evidencia",IF(Entradas_B!S64="Sim",-Itens_B!$C64,0),0))))</f>
        <v/>
      </c>
      <c r="S66">
        <f>IF(Entradas_B!T64="N/A",0,IF(Itens_B!$D64="risco",IF(Entradas_B!T64=Itens_B!$E64,Itens_B!$C64,0),IF(Itens_B!$D64="mitigacao",IF(Entradas_B!T64="Sim",-Itens_B!$C64,Itens_B!$C64),IF(Itens_B!$D64="evidencia",IF(Entradas_B!T64="Sim",-Itens_B!$C64,0),0))))</f>
        <v/>
      </c>
      <c r="T66">
        <f>IF(Entradas_B!U64="N/A",0,IF(Itens_B!$D64="risco",IF(Entradas_B!U64=Itens_B!$E64,Itens_B!$C64,0),IF(Itens_B!$D64="mitigacao",IF(Entradas_B!U64="Sim",-Itens_B!$C64,Itens_B!$C64),IF(Itens_B!$D64="evidencia",IF(Entradas_B!U64="Sim",-Itens_B!$C64,0),0))))</f>
        <v/>
      </c>
      <c r="U66">
        <f>IF(Entradas_B!V64="N/A",0,IF(Itens_B!$D64="risco",IF(Entradas_B!V64=Itens_B!$E64,Itens_B!$C64,0),IF(Itens_B!$D64="mitigacao",IF(Entradas_B!V64="Sim",-Itens_B!$C64,Itens_B!$C64),IF(Itens_B!$D64="evidencia",IF(Entradas_B!V64="Sim",-Itens_B!$C64,0),0))))</f>
        <v/>
      </c>
      <c r="V66">
        <f>IF(Entradas_B!W64="N/A",0,IF(Itens_B!$D64="risco",IF(Entradas_B!W64=Itens_B!$E64,Itens_B!$C64,0),IF(Itens_B!$D64="mitigacao",IF(Entradas_B!W64="Sim",-Itens_B!$C64,Itens_B!$C64),IF(Itens_B!$D64="evidencia",IF(Entradas_B!W64="Sim",-Itens_B!$C64,0),0))))</f>
        <v/>
      </c>
      <c r="W66">
        <f>IF(Entradas_B!X64="N/A",0,IF(Itens_B!$D64="risco",IF(Entradas_B!X64=Itens_B!$E64,Itens_B!$C64,0),IF(Itens_B!$D64="mitigacao",IF(Entradas_B!X64="Sim",-Itens_B!$C64,Itens_B!$C64),IF(Itens_B!$D64="evidencia",IF(Entradas_B!X64="Sim",-Itens_B!$C64,0),0))))</f>
        <v/>
      </c>
      <c r="X66">
        <f>IF(Entradas_B!Y64="N/A",0,IF(Itens_B!$D64="risco",IF(Entradas_B!Y64=Itens_B!$E64,Itens_B!$C64,0),IF(Itens_B!$D64="mitigacao",IF(Entradas_B!Y64="Sim",-Itens_B!$C64,Itens_B!$C64),IF(Itens_B!$D64="evidencia",IF(Entradas_B!Y64="Sim",-Itens_B!$C64,0),0))))</f>
        <v/>
      </c>
      <c r="Y66">
        <f>IF(Entradas_B!Z64="N/A",0,IF(Itens_B!$D64="risco",IF(Entradas_B!Z64=Itens_B!$E64,Itens_B!$C64,0),IF(Itens_B!$D64="mitigacao",IF(Entradas_B!Z64="Sim",-Itens_B!$C64,Itens_B!$C64),IF(Itens_B!$D64="evidencia",IF(Entradas_B!Z64="Sim",-Itens_B!$C64,0),0))))</f>
        <v/>
      </c>
      <c r="Z66">
        <f>IF(Entradas_B!AA64="N/A",0,IF(Itens_B!$D64="risco",IF(Entradas_B!AA64=Itens_B!$E64,Itens_B!$C64,0),IF(Itens_B!$D64="mitigacao",IF(Entradas_B!AA64="Sim",-Itens_B!$C64,Itens_B!$C64),IF(Itens_B!$D64="evidencia",IF(Entradas_B!AA64="Sim",-Itens_B!$C64,0),0))))</f>
        <v/>
      </c>
      <c r="AA66">
        <f>IF(Entradas_B!AB64="N/A",0,IF(Itens_B!$D64="risco",IF(Entradas_B!AB64=Itens_B!$E64,Itens_B!$C64,0),IF(Itens_B!$D64="mitigacao",IF(Entradas_B!AB64="Sim",-Itens_B!$C64,Itens_B!$C64),IF(Itens_B!$D64="evidencia",IF(Entradas_B!AB64="Sim",-Itens_B!$C64,0),0))))</f>
        <v/>
      </c>
      <c r="AB66">
        <f>IF(Entradas_B!AC64="N/A",0,IF(Itens_B!$D64="risco",IF(Entradas_B!AC64=Itens_B!$E64,Itens_B!$C64,0),IF(Itens_B!$D64="mitigacao",IF(Entradas_B!AC64="Sim",-Itens_B!$C64,Itens_B!$C64),IF(Itens_B!$D64="evidencia",IF(Entradas_B!AC64="Sim",-Itens_B!$C64,0),0))))</f>
        <v/>
      </c>
      <c r="AC66">
        <f>IF(Entradas_B!AD64="N/A",0,IF(Itens_B!$D64="risco",IF(Entradas_B!AD64=Itens_B!$E64,Itens_B!$C64,0),IF(Itens_B!$D64="mitigacao",IF(Entradas_B!AD64="Sim",-Itens_B!$C64,Itens_B!$C64),IF(Itens_B!$D64="evidencia",IF(Entradas_B!AD64="Sim",-Itens_B!$C64,0),0))))</f>
        <v/>
      </c>
      <c r="AD66">
        <f>IF(Entradas_B!AE64="N/A",0,IF(Itens_B!$D64="risco",IF(Entradas_B!AE64=Itens_B!$E64,Itens_B!$C64,0),IF(Itens_B!$D64="mitigacao",IF(Entradas_B!AE64="Sim",-Itens_B!$C64,Itens_B!$C64),IF(Itens_B!$D64="evidencia",IF(Entradas_B!AE64="Sim",-Itens_B!$C64,0),0))))</f>
        <v/>
      </c>
      <c r="AE66">
        <f>IF(Entradas_B!AF64="N/A",0,IF(Itens_B!$D64="risco",IF(Entradas_B!AF64=Itens_B!$E64,Itens_B!$C64,0),IF(Itens_B!$D64="mitigacao",IF(Entradas_B!AF64="Sim",-Itens_B!$C64,Itens_B!$C64),IF(Itens_B!$D64="evidencia",IF(Entradas_B!AF64="Sim",-Itens_B!$C64,0),0))))</f>
        <v/>
      </c>
      <c r="AF66">
        <f>IF(Entradas_B!AG64="N/A",0,IF(Itens_B!$D64="risco",IF(Entradas_B!AG64=Itens_B!$E64,Itens_B!$C64,0),IF(Itens_B!$D64="mitigacao",IF(Entradas_B!AG64="Sim",-Itens_B!$C64,Itens_B!$C64),IF(Itens_B!$D64="evidencia",IF(Entradas_B!AG64="Sim",-Itens_B!$C64,0),0))))</f>
        <v/>
      </c>
    </row>
    <row r="67">
      <c r="A67" t="inlineStr">
        <is>
          <t>P7.7</t>
        </is>
      </c>
      <c r="B67">
        <f>IF(Entradas_B!C65="N/A",0,IF(Itens_B!$D65="risco",IF(Entradas_B!C65=Itens_B!$E65,Itens_B!$C65,0),IF(Itens_B!$D65="mitigacao",IF(Entradas_B!C65="Sim",-Itens_B!$C65,Itens_B!$C65),IF(Itens_B!$D65="evidencia",IF(Entradas_B!C65="Sim",-Itens_B!$C65,0),0))))</f>
        <v/>
      </c>
      <c r="C67">
        <f>IF(Entradas_B!D65="N/A",0,IF(Itens_B!$D65="risco",IF(Entradas_B!D65=Itens_B!$E65,Itens_B!$C65,0),IF(Itens_B!$D65="mitigacao",IF(Entradas_B!D65="Sim",-Itens_B!$C65,Itens_B!$C65),IF(Itens_B!$D65="evidencia",IF(Entradas_B!D65="Sim",-Itens_B!$C65,0),0))))</f>
        <v/>
      </c>
      <c r="D67">
        <f>IF(Entradas_B!E65="N/A",0,IF(Itens_B!$D65="risco",IF(Entradas_B!E65=Itens_B!$E65,Itens_B!$C65,0),IF(Itens_B!$D65="mitigacao",IF(Entradas_B!E65="Sim",-Itens_B!$C65,Itens_B!$C65),IF(Itens_B!$D65="evidencia",IF(Entradas_B!E65="Sim",-Itens_B!$C65,0),0))))</f>
        <v/>
      </c>
      <c r="E67">
        <f>IF(Entradas_B!F65="N/A",0,IF(Itens_B!$D65="risco",IF(Entradas_B!F65=Itens_B!$E65,Itens_B!$C65,0),IF(Itens_B!$D65="mitigacao",IF(Entradas_B!F65="Sim",-Itens_B!$C65,Itens_B!$C65),IF(Itens_B!$D65="evidencia",IF(Entradas_B!F65="Sim",-Itens_B!$C65,0),0))))</f>
        <v/>
      </c>
      <c r="F67">
        <f>IF(Entradas_B!G65="N/A",0,IF(Itens_B!$D65="risco",IF(Entradas_B!G65=Itens_B!$E65,Itens_B!$C65,0),IF(Itens_B!$D65="mitigacao",IF(Entradas_B!G65="Sim",-Itens_B!$C65,Itens_B!$C65),IF(Itens_B!$D65="evidencia",IF(Entradas_B!G65="Sim",-Itens_B!$C65,0),0))))</f>
        <v/>
      </c>
      <c r="G67">
        <f>IF(Entradas_B!H65="N/A",0,IF(Itens_B!$D65="risco",IF(Entradas_B!H65=Itens_B!$E65,Itens_B!$C65,0),IF(Itens_B!$D65="mitigacao",IF(Entradas_B!H65="Sim",-Itens_B!$C65,Itens_B!$C65),IF(Itens_B!$D65="evidencia",IF(Entradas_B!H65="Sim",-Itens_B!$C65,0),0))))</f>
        <v/>
      </c>
      <c r="H67">
        <f>IF(Entradas_B!I65="N/A",0,IF(Itens_B!$D65="risco",IF(Entradas_B!I65=Itens_B!$E65,Itens_B!$C65,0),IF(Itens_B!$D65="mitigacao",IF(Entradas_B!I65="Sim",-Itens_B!$C65,Itens_B!$C65),IF(Itens_B!$D65="evidencia",IF(Entradas_B!I65="Sim",-Itens_B!$C65,0),0))))</f>
        <v/>
      </c>
      <c r="I67">
        <f>IF(Entradas_B!J65="N/A",0,IF(Itens_B!$D65="risco",IF(Entradas_B!J65=Itens_B!$E65,Itens_B!$C65,0),IF(Itens_B!$D65="mitigacao",IF(Entradas_B!J65="Sim",-Itens_B!$C65,Itens_B!$C65),IF(Itens_B!$D65="evidencia",IF(Entradas_B!J65="Sim",-Itens_B!$C65,0),0))))</f>
        <v/>
      </c>
      <c r="J67">
        <f>IF(Entradas_B!K65="N/A",0,IF(Itens_B!$D65="risco",IF(Entradas_B!K65=Itens_B!$E65,Itens_B!$C65,0),IF(Itens_B!$D65="mitigacao",IF(Entradas_B!K65="Sim",-Itens_B!$C65,Itens_B!$C65),IF(Itens_B!$D65="evidencia",IF(Entradas_B!K65="Sim",-Itens_B!$C65,0),0))))</f>
        <v/>
      </c>
      <c r="K67">
        <f>IF(Entradas_B!L65="N/A",0,IF(Itens_B!$D65="risco",IF(Entradas_B!L65=Itens_B!$E65,Itens_B!$C65,0),IF(Itens_B!$D65="mitigacao",IF(Entradas_B!L65="Sim",-Itens_B!$C65,Itens_B!$C65),IF(Itens_B!$D65="evidencia",IF(Entradas_B!L65="Sim",-Itens_B!$C65,0),0))))</f>
        <v/>
      </c>
      <c r="L67">
        <f>IF(Entradas_B!M65="N/A",0,IF(Itens_B!$D65="risco",IF(Entradas_B!M65=Itens_B!$E65,Itens_B!$C65,0),IF(Itens_B!$D65="mitigacao",IF(Entradas_B!M65="Sim",-Itens_B!$C65,Itens_B!$C65),IF(Itens_B!$D65="evidencia",IF(Entradas_B!M65="Sim",-Itens_B!$C65,0),0))))</f>
        <v/>
      </c>
      <c r="M67">
        <f>IF(Entradas_B!N65="N/A",0,IF(Itens_B!$D65="risco",IF(Entradas_B!N65=Itens_B!$E65,Itens_B!$C65,0),IF(Itens_B!$D65="mitigacao",IF(Entradas_B!N65="Sim",-Itens_B!$C65,Itens_B!$C65),IF(Itens_B!$D65="evidencia",IF(Entradas_B!N65="Sim",-Itens_B!$C65,0),0))))</f>
        <v/>
      </c>
      <c r="N67">
        <f>IF(Entradas_B!O65="N/A",0,IF(Itens_B!$D65="risco",IF(Entradas_B!O65=Itens_B!$E65,Itens_B!$C65,0),IF(Itens_B!$D65="mitigacao",IF(Entradas_B!O65="Sim",-Itens_B!$C65,Itens_B!$C65),IF(Itens_B!$D65="evidencia",IF(Entradas_B!O65="Sim",-Itens_B!$C65,0),0))))</f>
        <v/>
      </c>
      <c r="O67">
        <f>IF(Entradas_B!P65="N/A",0,IF(Itens_B!$D65="risco",IF(Entradas_B!P65=Itens_B!$E65,Itens_B!$C65,0),IF(Itens_B!$D65="mitigacao",IF(Entradas_B!P65="Sim",-Itens_B!$C65,Itens_B!$C65),IF(Itens_B!$D65="evidencia",IF(Entradas_B!P65="Sim",-Itens_B!$C65,0),0))))</f>
        <v/>
      </c>
      <c r="P67">
        <f>IF(Entradas_B!Q65="N/A",0,IF(Itens_B!$D65="risco",IF(Entradas_B!Q65=Itens_B!$E65,Itens_B!$C65,0),IF(Itens_B!$D65="mitigacao",IF(Entradas_B!Q65="Sim",-Itens_B!$C65,Itens_B!$C65),IF(Itens_B!$D65="evidencia",IF(Entradas_B!Q65="Sim",-Itens_B!$C65,0),0))))</f>
        <v/>
      </c>
      <c r="Q67">
        <f>IF(Entradas_B!R65="N/A",0,IF(Itens_B!$D65="risco",IF(Entradas_B!R65=Itens_B!$E65,Itens_B!$C65,0),IF(Itens_B!$D65="mitigacao",IF(Entradas_B!R65="Sim",-Itens_B!$C65,Itens_B!$C65),IF(Itens_B!$D65="evidencia",IF(Entradas_B!R65="Sim",-Itens_B!$C65,0),0))))</f>
        <v/>
      </c>
      <c r="R67">
        <f>IF(Entradas_B!S65="N/A",0,IF(Itens_B!$D65="risco",IF(Entradas_B!S65=Itens_B!$E65,Itens_B!$C65,0),IF(Itens_B!$D65="mitigacao",IF(Entradas_B!S65="Sim",-Itens_B!$C65,Itens_B!$C65),IF(Itens_B!$D65="evidencia",IF(Entradas_B!S65="Sim",-Itens_B!$C65,0),0))))</f>
        <v/>
      </c>
      <c r="S67">
        <f>IF(Entradas_B!T65="N/A",0,IF(Itens_B!$D65="risco",IF(Entradas_B!T65=Itens_B!$E65,Itens_B!$C65,0),IF(Itens_B!$D65="mitigacao",IF(Entradas_B!T65="Sim",-Itens_B!$C65,Itens_B!$C65),IF(Itens_B!$D65="evidencia",IF(Entradas_B!T65="Sim",-Itens_B!$C65,0),0))))</f>
        <v/>
      </c>
      <c r="T67">
        <f>IF(Entradas_B!U65="N/A",0,IF(Itens_B!$D65="risco",IF(Entradas_B!U65=Itens_B!$E65,Itens_B!$C65,0),IF(Itens_B!$D65="mitigacao",IF(Entradas_B!U65="Sim",-Itens_B!$C65,Itens_B!$C65),IF(Itens_B!$D65="evidencia",IF(Entradas_B!U65="Sim",-Itens_B!$C65,0),0))))</f>
        <v/>
      </c>
      <c r="U67">
        <f>IF(Entradas_B!V65="N/A",0,IF(Itens_B!$D65="risco",IF(Entradas_B!V65=Itens_B!$E65,Itens_B!$C65,0),IF(Itens_B!$D65="mitigacao",IF(Entradas_B!V65="Sim",-Itens_B!$C65,Itens_B!$C65),IF(Itens_B!$D65="evidencia",IF(Entradas_B!V65="Sim",-Itens_B!$C65,0),0))))</f>
        <v/>
      </c>
      <c r="V67">
        <f>IF(Entradas_B!W65="N/A",0,IF(Itens_B!$D65="risco",IF(Entradas_B!W65=Itens_B!$E65,Itens_B!$C65,0),IF(Itens_B!$D65="mitigacao",IF(Entradas_B!W65="Sim",-Itens_B!$C65,Itens_B!$C65),IF(Itens_B!$D65="evidencia",IF(Entradas_B!W65="Sim",-Itens_B!$C65,0),0))))</f>
        <v/>
      </c>
      <c r="W67">
        <f>IF(Entradas_B!X65="N/A",0,IF(Itens_B!$D65="risco",IF(Entradas_B!X65=Itens_B!$E65,Itens_B!$C65,0),IF(Itens_B!$D65="mitigacao",IF(Entradas_B!X65="Sim",-Itens_B!$C65,Itens_B!$C65),IF(Itens_B!$D65="evidencia",IF(Entradas_B!X65="Sim",-Itens_B!$C65,0),0))))</f>
        <v/>
      </c>
      <c r="X67">
        <f>IF(Entradas_B!Y65="N/A",0,IF(Itens_B!$D65="risco",IF(Entradas_B!Y65=Itens_B!$E65,Itens_B!$C65,0),IF(Itens_B!$D65="mitigacao",IF(Entradas_B!Y65="Sim",-Itens_B!$C65,Itens_B!$C65),IF(Itens_B!$D65="evidencia",IF(Entradas_B!Y65="Sim",-Itens_B!$C65,0),0))))</f>
        <v/>
      </c>
      <c r="Y67">
        <f>IF(Entradas_B!Z65="N/A",0,IF(Itens_B!$D65="risco",IF(Entradas_B!Z65=Itens_B!$E65,Itens_B!$C65,0),IF(Itens_B!$D65="mitigacao",IF(Entradas_B!Z65="Sim",-Itens_B!$C65,Itens_B!$C65),IF(Itens_B!$D65="evidencia",IF(Entradas_B!Z65="Sim",-Itens_B!$C65,0),0))))</f>
        <v/>
      </c>
      <c r="Z67">
        <f>IF(Entradas_B!AA65="N/A",0,IF(Itens_B!$D65="risco",IF(Entradas_B!AA65=Itens_B!$E65,Itens_B!$C65,0),IF(Itens_B!$D65="mitigacao",IF(Entradas_B!AA65="Sim",-Itens_B!$C65,Itens_B!$C65),IF(Itens_B!$D65="evidencia",IF(Entradas_B!AA65="Sim",-Itens_B!$C65,0),0))))</f>
        <v/>
      </c>
      <c r="AA67">
        <f>IF(Entradas_B!AB65="N/A",0,IF(Itens_B!$D65="risco",IF(Entradas_B!AB65=Itens_B!$E65,Itens_B!$C65,0),IF(Itens_B!$D65="mitigacao",IF(Entradas_B!AB65="Sim",-Itens_B!$C65,Itens_B!$C65),IF(Itens_B!$D65="evidencia",IF(Entradas_B!AB65="Sim",-Itens_B!$C65,0),0))))</f>
        <v/>
      </c>
      <c r="AB67">
        <f>IF(Entradas_B!AC65="N/A",0,IF(Itens_B!$D65="risco",IF(Entradas_B!AC65=Itens_B!$E65,Itens_B!$C65,0),IF(Itens_B!$D65="mitigacao",IF(Entradas_B!AC65="Sim",-Itens_B!$C65,Itens_B!$C65),IF(Itens_B!$D65="evidencia",IF(Entradas_B!AC65="Sim",-Itens_B!$C65,0),0))))</f>
        <v/>
      </c>
      <c r="AC67">
        <f>IF(Entradas_B!AD65="N/A",0,IF(Itens_B!$D65="risco",IF(Entradas_B!AD65=Itens_B!$E65,Itens_B!$C65,0),IF(Itens_B!$D65="mitigacao",IF(Entradas_B!AD65="Sim",-Itens_B!$C65,Itens_B!$C65),IF(Itens_B!$D65="evidencia",IF(Entradas_B!AD65="Sim",-Itens_B!$C65,0),0))))</f>
        <v/>
      </c>
      <c r="AD67">
        <f>IF(Entradas_B!AE65="N/A",0,IF(Itens_B!$D65="risco",IF(Entradas_B!AE65=Itens_B!$E65,Itens_B!$C65,0),IF(Itens_B!$D65="mitigacao",IF(Entradas_B!AE65="Sim",-Itens_B!$C65,Itens_B!$C65),IF(Itens_B!$D65="evidencia",IF(Entradas_B!AE65="Sim",-Itens_B!$C65,0),0))))</f>
        <v/>
      </c>
      <c r="AE67">
        <f>IF(Entradas_B!AF65="N/A",0,IF(Itens_B!$D65="risco",IF(Entradas_B!AF65=Itens_B!$E65,Itens_B!$C65,0),IF(Itens_B!$D65="mitigacao",IF(Entradas_B!AF65="Sim",-Itens_B!$C65,Itens_B!$C65),IF(Itens_B!$D65="evidencia",IF(Entradas_B!AF65="Sim",-Itens_B!$C65,0),0))))</f>
        <v/>
      </c>
      <c r="AF67">
        <f>IF(Entradas_B!AG65="N/A",0,IF(Itens_B!$D65="risco",IF(Entradas_B!AG65=Itens_B!$E65,Itens_B!$C65,0),IF(Itens_B!$D65="mitigacao",IF(Entradas_B!AG65="Sim",-Itens_B!$C65,Itens_B!$C65),IF(Itens_B!$D65="evidencia",IF(Entradas_B!AG65="Sim",-Itens_B!$C65,0),0))))</f>
        <v/>
      </c>
    </row>
    <row r="68">
      <c r="A68" t="inlineStr">
        <is>
          <t>P7.8</t>
        </is>
      </c>
      <c r="B68">
        <f>IF(Entradas_B!C66="N/A",0,IF(Itens_B!$D66="risco",IF(Entradas_B!C66=Itens_B!$E66,Itens_B!$C66,0),IF(Itens_B!$D66="mitigacao",IF(Entradas_B!C66="Sim",-Itens_B!$C66,Itens_B!$C66),IF(Itens_B!$D66="evidencia",IF(Entradas_B!C66="Sim",-Itens_B!$C66,0),0))))</f>
        <v/>
      </c>
      <c r="C68">
        <f>IF(Entradas_B!D66="N/A",0,IF(Itens_B!$D66="risco",IF(Entradas_B!D66=Itens_B!$E66,Itens_B!$C66,0),IF(Itens_B!$D66="mitigacao",IF(Entradas_B!D66="Sim",-Itens_B!$C66,Itens_B!$C66),IF(Itens_B!$D66="evidencia",IF(Entradas_B!D66="Sim",-Itens_B!$C66,0),0))))</f>
        <v/>
      </c>
      <c r="D68">
        <f>IF(Entradas_B!E66="N/A",0,IF(Itens_B!$D66="risco",IF(Entradas_B!E66=Itens_B!$E66,Itens_B!$C66,0),IF(Itens_B!$D66="mitigacao",IF(Entradas_B!E66="Sim",-Itens_B!$C66,Itens_B!$C66),IF(Itens_B!$D66="evidencia",IF(Entradas_B!E66="Sim",-Itens_B!$C66,0),0))))</f>
        <v/>
      </c>
      <c r="E68">
        <f>IF(Entradas_B!F66="N/A",0,IF(Itens_B!$D66="risco",IF(Entradas_B!F66=Itens_B!$E66,Itens_B!$C66,0),IF(Itens_B!$D66="mitigacao",IF(Entradas_B!F66="Sim",-Itens_B!$C66,Itens_B!$C66),IF(Itens_B!$D66="evidencia",IF(Entradas_B!F66="Sim",-Itens_B!$C66,0),0))))</f>
        <v/>
      </c>
      <c r="F68">
        <f>IF(Entradas_B!G66="N/A",0,IF(Itens_B!$D66="risco",IF(Entradas_B!G66=Itens_B!$E66,Itens_B!$C66,0),IF(Itens_B!$D66="mitigacao",IF(Entradas_B!G66="Sim",-Itens_B!$C66,Itens_B!$C66),IF(Itens_B!$D66="evidencia",IF(Entradas_B!G66="Sim",-Itens_B!$C66,0),0))))</f>
        <v/>
      </c>
      <c r="G68">
        <f>IF(Entradas_B!H66="N/A",0,IF(Itens_B!$D66="risco",IF(Entradas_B!H66=Itens_B!$E66,Itens_B!$C66,0),IF(Itens_B!$D66="mitigacao",IF(Entradas_B!H66="Sim",-Itens_B!$C66,Itens_B!$C66),IF(Itens_B!$D66="evidencia",IF(Entradas_B!H66="Sim",-Itens_B!$C66,0),0))))</f>
        <v/>
      </c>
      <c r="H68">
        <f>IF(Entradas_B!I66="N/A",0,IF(Itens_B!$D66="risco",IF(Entradas_B!I66=Itens_B!$E66,Itens_B!$C66,0),IF(Itens_B!$D66="mitigacao",IF(Entradas_B!I66="Sim",-Itens_B!$C66,Itens_B!$C66),IF(Itens_B!$D66="evidencia",IF(Entradas_B!I66="Sim",-Itens_B!$C66,0),0))))</f>
        <v/>
      </c>
      <c r="I68">
        <f>IF(Entradas_B!J66="N/A",0,IF(Itens_B!$D66="risco",IF(Entradas_B!J66=Itens_B!$E66,Itens_B!$C66,0),IF(Itens_B!$D66="mitigacao",IF(Entradas_B!J66="Sim",-Itens_B!$C66,Itens_B!$C66),IF(Itens_B!$D66="evidencia",IF(Entradas_B!J66="Sim",-Itens_B!$C66,0),0))))</f>
        <v/>
      </c>
      <c r="J68">
        <f>IF(Entradas_B!K66="N/A",0,IF(Itens_B!$D66="risco",IF(Entradas_B!K66=Itens_B!$E66,Itens_B!$C66,0),IF(Itens_B!$D66="mitigacao",IF(Entradas_B!K66="Sim",-Itens_B!$C66,Itens_B!$C66),IF(Itens_B!$D66="evidencia",IF(Entradas_B!K66="Sim",-Itens_B!$C66,0),0))))</f>
        <v/>
      </c>
      <c r="K68">
        <f>IF(Entradas_B!L66="N/A",0,IF(Itens_B!$D66="risco",IF(Entradas_B!L66=Itens_B!$E66,Itens_B!$C66,0),IF(Itens_B!$D66="mitigacao",IF(Entradas_B!L66="Sim",-Itens_B!$C66,Itens_B!$C66),IF(Itens_B!$D66="evidencia",IF(Entradas_B!L66="Sim",-Itens_B!$C66,0),0))))</f>
        <v/>
      </c>
      <c r="L68">
        <f>IF(Entradas_B!M66="N/A",0,IF(Itens_B!$D66="risco",IF(Entradas_B!M66=Itens_B!$E66,Itens_B!$C66,0),IF(Itens_B!$D66="mitigacao",IF(Entradas_B!M66="Sim",-Itens_B!$C66,Itens_B!$C66),IF(Itens_B!$D66="evidencia",IF(Entradas_B!M66="Sim",-Itens_B!$C66,0),0))))</f>
        <v/>
      </c>
      <c r="M68">
        <f>IF(Entradas_B!N66="N/A",0,IF(Itens_B!$D66="risco",IF(Entradas_B!N66=Itens_B!$E66,Itens_B!$C66,0),IF(Itens_B!$D66="mitigacao",IF(Entradas_B!N66="Sim",-Itens_B!$C66,Itens_B!$C66),IF(Itens_B!$D66="evidencia",IF(Entradas_B!N66="Sim",-Itens_B!$C66,0),0))))</f>
        <v/>
      </c>
      <c r="N68">
        <f>IF(Entradas_B!O66="N/A",0,IF(Itens_B!$D66="risco",IF(Entradas_B!O66=Itens_B!$E66,Itens_B!$C66,0),IF(Itens_B!$D66="mitigacao",IF(Entradas_B!O66="Sim",-Itens_B!$C66,Itens_B!$C66),IF(Itens_B!$D66="evidencia",IF(Entradas_B!O66="Sim",-Itens_B!$C66,0),0))))</f>
        <v/>
      </c>
      <c r="O68">
        <f>IF(Entradas_B!P66="N/A",0,IF(Itens_B!$D66="risco",IF(Entradas_B!P66=Itens_B!$E66,Itens_B!$C66,0),IF(Itens_B!$D66="mitigacao",IF(Entradas_B!P66="Sim",-Itens_B!$C66,Itens_B!$C66),IF(Itens_B!$D66="evidencia",IF(Entradas_B!P66="Sim",-Itens_B!$C66,0),0))))</f>
        <v/>
      </c>
      <c r="P68">
        <f>IF(Entradas_B!Q66="N/A",0,IF(Itens_B!$D66="risco",IF(Entradas_B!Q66=Itens_B!$E66,Itens_B!$C66,0),IF(Itens_B!$D66="mitigacao",IF(Entradas_B!Q66="Sim",-Itens_B!$C66,Itens_B!$C66),IF(Itens_B!$D66="evidencia",IF(Entradas_B!Q66="Sim",-Itens_B!$C66,0),0))))</f>
        <v/>
      </c>
      <c r="Q68">
        <f>IF(Entradas_B!R66="N/A",0,IF(Itens_B!$D66="risco",IF(Entradas_B!R66=Itens_B!$E66,Itens_B!$C66,0),IF(Itens_B!$D66="mitigacao",IF(Entradas_B!R66="Sim",-Itens_B!$C66,Itens_B!$C66),IF(Itens_B!$D66="evidencia",IF(Entradas_B!R66="Sim",-Itens_B!$C66,0),0))))</f>
        <v/>
      </c>
      <c r="R68">
        <f>IF(Entradas_B!S66="N/A",0,IF(Itens_B!$D66="risco",IF(Entradas_B!S66=Itens_B!$E66,Itens_B!$C66,0),IF(Itens_B!$D66="mitigacao",IF(Entradas_B!S66="Sim",-Itens_B!$C66,Itens_B!$C66),IF(Itens_B!$D66="evidencia",IF(Entradas_B!S66="Sim",-Itens_B!$C66,0),0))))</f>
        <v/>
      </c>
      <c r="S68">
        <f>IF(Entradas_B!T66="N/A",0,IF(Itens_B!$D66="risco",IF(Entradas_B!T66=Itens_B!$E66,Itens_B!$C66,0),IF(Itens_B!$D66="mitigacao",IF(Entradas_B!T66="Sim",-Itens_B!$C66,Itens_B!$C66),IF(Itens_B!$D66="evidencia",IF(Entradas_B!T66="Sim",-Itens_B!$C66,0),0))))</f>
        <v/>
      </c>
      <c r="T68">
        <f>IF(Entradas_B!U66="N/A",0,IF(Itens_B!$D66="risco",IF(Entradas_B!U66=Itens_B!$E66,Itens_B!$C66,0),IF(Itens_B!$D66="mitigacao",IF(Entradas_B!U66="Sim",-Itens_B!$C66,Itens_B!$C66),IF(Itens_B!$D66="evidencia",IF(Entradas_B!U66="Sim",-Itens_B!$C66,0),0))))</f>
        <v/>
      </c>
      <c r="U68">
        <f>IF(Entradas_B!V66="N/A",0,IF(Itens_B!$D66="risco",IF(Entradas_B!V66=Itens_B!$E66,Itens_B!$C66,0),IF(Itens_B!$D66="mitigacao",IF(Entradas_B!V66="Sim",-Itens_B!$C66,Itens_B!$C66),IF(Itens_B!$D66="evidencia",IF(Entradas_B!V66="Sim",-Itens_B!$C66,0),0))))</f>
        <v/>
      </c>
      <c r="V68">
        <f>IF(Entradas_B!W66="N/A",0,IF(Itens_B!$D66="risco",IF(Entradas_B!W66=Itens_B!$E66,Itens_B!$C66,0),IF(Itens_B!$D66="mitigacao",IF(Entradas_B!W66="Sim",-Itens_B!$C66,Itens_B!$C66),IF(Itens_B!$D66="evidencia",IF(Entradas_B!W66="Sim",-Itens_B!$C66,0),0))))</f>
        <v/>
      </c>
      <c r="W68">
        <f>IF(Entradas_B!X66="N/A",0,IF(Itens_B!$D66="risco",IF(Entradas_B!X66=Itens_B!$E66,Itens_B!$C66,0),IF(Itens_B!$D66="mitigacao",IF(Entradas_B!X66="Sim",-Itens_B!$C66,Itens_B!$C66),IF(Itens_B!$D66="evidencia",IF(Entradas_B!X66="Sim",-Itens_B!$C66,0),0))))</f>
        <v/>
      </c>
      <c r="X68">
        <f>IF(Entradas_B!Y66="N/A",0,IF(Itens_B!$D66="risco",IF(Entradas_B!Y66=Itens_B!$E66,Itens_B!$C66,0),IF(Itens_B!$D66="mitigacao",IF(Entradas_B!Y66="Sim",-Itens_B!$C66,Itens_B!$C66),IF(Itens_B!$D66="evidencia",IF(Entradas_B!Y66="Sim",-Itens_B!$C66,0),0))))</f>
        <v/>
      </c>
      <c r="Y68">
        <f>IF(Entradas_B!Z66="N/A",0,IF(Itens_B!$D66="risco",IF(Entradas_B!Z66=Itens_B!$E66,Itens_B!$C66,0),IF(Itens_B!$D66="mitigacao",IF(Entradas_B!Z66="Sim",-Itens_B!$C66,Itens_B!$C66),IF(Itens_B!$D66="evidencia",IF(Entradas_B!Z66="Sim",-Itens_B!$C66,0),0))))</f>
        <v/>
      </c>
      <c r="Z68">
        <f>IF(Entradas_B!AA66="N/A",0,IF(Itens_B!$D66="risco",IF(Entradas_B!AA66=Itens_B!$E66,Itens_B!$C66,0),IF(Itens_B!$D66="mitigacao",IF(Entradas_B!AA66="Sim",-Itens_B!$C66,Itens_B!$C66),IF(Itens_B!$D66="evidencia",IF(Entradas_B!AA66="Sim",-Itens_B!$C66,0),0))))</f>
        <v/>
      </c>
      <c r="AA68">
        <f>IF(Entradas_B!AB66="N/A",0,IF(Itens_B!$D66="risco",IF(Entradas_B!AB66=Itens_B!$E66,Itens_B!$C66,0),IF(Itens_B!$D66="mitigacao",IF(Entradas_B!AB66="Sim",-Itens_B!$C66,Itens_B!$C66),IF(Itens_B!$D66="evidencia",IF(Entradas_B!AB66="Sim",-Itens_B!$C66,0),0))))</f>
        <v/>
      </c>
      <c r="AB68">
        <f>IF(Entradas_B!AC66="N/A",0,IF(Itens_B!$D66="risco",IF(Entradas_B!AC66=Itens_B!$E66,Itens_B!$C66,0),IF(Itens_B!$D66="mitigacao",IF(Entradas_B!AC66="Sim",-Itens_B!$C66,Itens_B!$C66),IF(Itens_B!$D66="evidencia",IF(Entradas_B!AC66="Sim",-Itens_B!$C66,0),0))))</f>
        <v/>
      </c>
      <c r="AC68">
        <f>IF(Entradas_B!AD66="N/A",0,IF(Itens_B!$D66="risco",IF(Entradas_B!AD66=Itens_B!$E66,Itens_B!$C66,0),IF(Itens_B!$D66="mitigacao",IF(Entradas_B!AD66="Sim",-Itens_B!$C66,Itens_B!$C66),IF(Itens_B!$D66="evidencia",IF(Entradas_B!AD66="Sim",-Itens_B!$C66,0),0))))</f>
        <v/>
      </c>
      <c r="AD68">
        <f>IF(Entradas_B!AE66="N/A",0,IF(Itens_B!$D66="risco",IF(Entradas_B!AE66=Itens_B!$E66,Itens_B!$C66,0),IF(Itens_B!$D66="mitigacao",IF(Entradas_B!AE66="Sim",-Itens_B!$C66,Itens_B!$C66),IF(Itens_B!$D66="evidencia",IF(Entradas_B!AE66="Sim",-Itens_B!$C66,0),0))))</f>
        <v/>
      </c>
      <c r="AE68">
        <f>IF(Entradas_B!AF66="N/A",0,IF(Itens_B!$D66="risco",IF(Entradas_B!AF66=Itens_B!$E66,Itens_B!$C66,0),IF(Itens_B!$D66="mitigacao",IF(Entradas_B!AF66="Sim",-Itens_B!$C66,Itens_B!$C66),IF(Itens_B!$D66="evidencia",IF(Entradas_B!AF66="Sim",-Itens_B!$C66,0),0))))</f>
        <v/>
      </c>
      <c r="AF68">
        <f>IF(Entradas_B!AG66="N/A",0,IF(Itens_B!$D66="risco",IF(Entradas_B!AG66=Itens_B!$E66,Itens_B!$C66,0),IF(Itens_B!$D66="mitigacao",IF(Entradas_B!AG66="Sim",-Itens_B!$C66,Itens_B!$C66),IF(Itens_B!$D66="evidencia",IF(Entradas_B!AG66="Sim",-Itens_B!$C66,0),0))))</f>
        <v/>
      </c>
    </row>
    <row r="69">
      <c r="A69" t="inlineStr">
        <is>
          <t>P7.9</t>
        </is>
      </c>
      <c r="B69">
        <f>IF(Entradas_B!C67="N/A",0,IF(Itens_B!$D67="risco",IF(Entradas_B!C67=Itens_B!$E67,Itens_B!$C67,0),IF(Itens_B!$D67="mitigacao",IF(Entradas_B!C67="Sim",-Itens_B!$C67,Itens_B!$C67),IF(Itens_B!$D67="evidencia",IF(Entradas_B!C67="Sim",-Itens_B!$C67,0),0))))</f>
        <v/>
      </c>
      <c r="C69">
        <f>IF(Entradas_B!D67="N/A",0,IF(Itens_B!$D67="risco",IF(Entradas_B!D67=Itens_B!$E67,Itens_B!$C67,0),IF(Itens_B!$D67="mitigacao",IF(Entradas_B!D67="Sim",-Itens_B!$C67,Itens_B!$C67),IF(Itens_B!$D67="evidencia",IF(Entradas_B!D67="Sim",-Itens_B!$C67,0),0))))</f>
        <v/>
      </c>
      <c r="D69">
        <f>IF(Entradas_B!E67="N/A",0,IF(Itens_B!$D67="risco",IF(Entradas_B!E67=Itens_B!$E67,Itens_B!$C67,0),IF(Itens_B!$D67="mitigacao",IF(Entradas_B!E67="Sim",-Itens_B!$C67,Itens_B!$C67),IF(Itens_B!$D67="evidencia",IF(Entradas_B!E67="Sim",-Itens_B!$C67,0),0))))</f>
        <v/>
      </c>
      <c r="E69">
        <f>IF(Entradas_B!F67="N/A",0,IF(Itens_B!$D67="risco",IF(Entradas_B!F67=Itens_B!$E67,Itens_B!$C67,0),IF(Itens_B!$D67="mitigacao",IF(Entradas_B!F67="Sim",-Itens_B!$C67,Itens_B!$C67),IF(Itens_B!$D67="evidencia",IF(Entradas_B!F67="Sim",-Itens_B!$C67,0),0))))</f>
        <v/>
      </c>
      <c r="F69">
        <f>IF(Entradas_B!G67="N/A",0,IF(Itens_B!$D67="risco",IF(Entradas_B!G67=Itens_B!$E67,Itens_B!$C67,0),IF(Itens_B!$D67="mitigacao",IF(Entradas_B!G67="Sim",-Itens_B!$C67,Itens_B!$C67),IF(Itens_B!$D67="evidencia",IF(Entradas_B!G67="Sim",-Itens_B!$C67,0),0))))</f>
        <v/>
      </c>
      <c r="G69">
        <f>IF(Entradas_B!H67="N/A",0,IF(Itens_B!$D67="risco",IF(Entradas_B!H67=Itens_B!$E67,Itens_B!$C67,0),IF(Itens_B!$D67="mitigacao",IF(Entradas_B!H67="Sim",-Itens_B!$C67,Itens_B!$C67),IF(Itens_B!$D67="evidencia",IF(Entradas_B!H67="Sim",-Itens_B!$C67,0),0))))</f>
        <v/>
      </c>
      <c r="H69">
        <f>IF(Entradas_B!I67="N/A",0,IF(Itens_B!$D67="risco",IF(Entradas_B!I67=Itens_B!$E67,Itens_B!$C67,0),IF(Itens_B!$D67="mitigacao",IF(Entradas_B!I67="Sim",-Itens_B!$C67,Itens_B!$C67),IF(Itens_B!$D67="evidencia",IF(Entradas_B!I67="Sim",-Itens_B!$C67,0),0))))</f>
        <v/>
      </c>
      <c r="I69">
        <f>IF(Entradas_B!J67="N/A",0,IF(Itens_B!$D67="risco",IF(Entradas_B!J67=Itens_B!$E67,Itens_B!$C67,0),IF(Itens_B!$D67="mitigacao",IF(Entradas_B!J67="Sim",-Itens_B!$C67,Itens_B!$C67),IF(Itens_B!$D67="evidencia",IF(Entradas_B!J67="Sim",-Itens_B!$C67,0),0))))</f>
        <v/>
      </c>
      <c r="J69">
        <f>IF(Entradas_B!K67="N/A",0,IF(Itens_B!$D67="risco",IF(Entradas_B!K67=Itens_B!$E67,Itens_B!$C67,0),IF(Itens_B!$D67="mitigacao",IF(Entradas_B!K67="Sim",-Itens_B!$C67,Itens_B!$C67),IF(Itens_B!$D67="evidencia",IF(Entradas_B!K67="Sim",-Itens_B!$C67,0),0))))</f>
        <v/>
      </c>
      <c r="K69">
        <f>IF(Entradas_B!L67="N/A",0,IF(Itens_B!$D67="risco",IF(Entradas_B!L67=Itens_B!$E67,Itens_B!$C67,0),IF(Itens_B!$D67="mitigacao",IF(Entradas_B!L67="Sim",-Itens_B!$C67,Itens_B!$C67),IF(Itens_B!$D67="evidencia",IF(Entradas_B!L67="Sim",-Itens_B!$C67,0),0))))</f>
        <v/>
      </c>
      <c r="L69">
        <f>IF(Entradas_B!M67="N/A",0,IF(Itens_B!$D67="risco",IF(Entradas_B!M67=Itens_B!$E67,Itens_B!$C67,0),IF(Itens_B!$D67="mitigacao",IF(Entradas_B!M67="Sim",-Itens_B!$C67,Itens_B!$C67),IF(Itens_B!$D67="evidencia",IF(Entradas_B!M67="Sim",-Itens_B!$C67,0),0))))</f>
        <v/>
      </c>
      <c r="M69">
        <f>IF(Entradas_B!N67="N/A",0,IF(Itens_B!$D67="risco",IF(Entradas_B!N67=Itens_B!$E67,Itens_B!$C67,0),IF(Itens_B!$D67="mitigacao",IF(Entradas_B!N67="Sim",-Itens_B!$C67,Itens_B!$C67),IF(Itens_B!$D67="evidencia",IF(Entradas_B!N67="Sim",-Itens_B!$C67,0),0))))</f>
        <v/>
      </c>
      <c r="N69">
        <f>IF(Entradas_B!O67="N/A",0,IF(Itens_B!$D67="risco",IF(Entradas_B!O67=Itens_B!$E67,Itens_B!$C67,0),IF(Itens_B!$D67="mitigacao",IF(Entradas_B!O67="Sim",-Itens_B!$C67,Itens_B!$C67),IF(Itens_B!$D67="evidencia",IF(Entradas_B!O67="Sim",-Itens_B!$C67,0),0))))</f>
        <v/>
      </c>
      <c r="O69">
        <f>IF(Entradas_B!P67="N/A",0,IF(Itens_B!$D67="risco",IF(Entradas_B!P67=Itens_B!$E67,Itens_B!$C67,0),IF(Itens_B!$D67="mitigacao",IF(Entradas_B!P67="Sim",-Itens_B!$C67,Itens_B!$C67),IF(Itens_B!$D67="evidencia",IF(Entradas_B!P67="Sim",-Itens_B!$C67,0),0))))</f>
        <v/>
      </c>
      <c r="P69">
        <f>IF(Entradas_B!Q67="N/A",0,IF(Itens_B!$D67="risco",IF(Entradas_B!Q67=Itens_B!$E67,Itens_B!$C67,0),IF(Itens_B!$D67="mitigacao",IF(Entradas_B!Q67="Sim",-Itens_B!$C67,Itens_B!$C67),IF(Itens_B!$D67="evidencia",IF(Entradas_B!Q67="Sim",-Itens_B!$C67,0),0))))</f>
        <v/>
      </c>
      <c r="Q69">
        <f>IF(Entradas_B!R67="N/A",0,IF(Itens_B!$D67="risco",IF(Entradas_B!R67=Itens_B!$E67,Itens_B!$C67,0),IF(Itens_B!$D67="mitigacao",IF(Entradas_B!R67="Sim",-Itens_B!$C67,Itens_B!$C67),IF(Itens_B!$D67="evidencia",IF(Entradas_B!R67="Sim",-Itens_B!$C67,0),0))))</f>
        <v/>
      </c>
      <c r="R69">
        <f>IF(Entradas_B!S67="N/A",0,IF(Itens_B!$D67="risco",IF(Entradas_B!S67=Itens_B!$E67,Itens_B!$C67,0),IF(Itens_B!$D67="mitigacao",IF(Entradas_B!S67="Sim",-Itens_B!$C67,Itens_B!$C67),IF(Itens_B!$D67="evidencia",IF(Entradas_B!S67="Sim",-Itens_B!$C67,0),0))))</f>
        <v/>
      </c>
      <c r="S69">
        <f>IF(Entradas_B!T67="N/A",0,IF(Itens_B!$D67="risco",IF(Entradas_B!T67=Itens_B!$E67,Itens_B!$C67,0),IF(Itens_B!$D67="mitigacao",IF(Entradas_B!T67="Sim",-Itens_B!$C67,Itens_B!$C67),IF(Itens_B!$D67="evidencia",IF(Entradas_B!T67="Sim",-Itens_B!$C67,0),0))))</f>
        <v/>
      </c>
      <c r="T69">
        <f>IF(Entradas_B!U67="N/A",0,IF(Itens_B!$D67="risco",IF(Entradas_B!U67=Itens_B!$E67,Itens_B!$C67,0),IF(Itens_B!$D67="mitigacao",IF(Entradas_B!U67="Sim",-Itens_B!$C67,Itens_B!$C67),IF(Itens_B!$D67="evidencia",IF(Entradas_B!U67="Sim",-Itens_B!$C67,0),0))))</f>
        <v/>
      </c>
      <c r="U69">
        <f>IF(Entradas_B!V67="N/A",0,IF(Itens_B!$D67="risco",IF(Entradas_B!V67=Itens_B!$E67,Itens_B!$C67,0),IF(Itens_B!$D67="mitigacao",IF(Entradas_B!V67="Sim",-Itens_B!$C67,Itens_B!$C67),IF(Itens_B!$D67="evidencia",IF(Entradas_B!V67="Sim",-Itens_B!$C67,0),0))))</f>
        <v/>
      </c>
      <c r="V69">
        <f>IF(Entradas_B!W67="N/A",0,IF(Itens_B!$D67="risco",IF(Entradas_B!W67=Itens_B!$E67,Itens_B!$C67,0),IF(Itens_B!$D67="mitigacao",IF(Entradas_B!W67="Sim",-Itens_B!$C67,Itens_B!$C67),IF(Itens_B!$D67="evidencia",IF(Entradas_B!W67="Sim",-Itens_B!$C67,0),0))))</f>
        <v/>
      </c>
      <c r="W69">
        <f>IF(Entradas_B!X67="N/A",0,IF(Itens_B!$D67="risco",IF(Entradas_B!X67=Itens_B!$E67,Itens_B!$C67,0),IF(Itens_B!$D67="mitigacao",IF(Entradas_B!X67="Sim",-Itens_B!$C67,Itens_B!$C67),IF(Itens_B!$D67="evidencia",IF(Entradas_B!X67="Sim",-Itens_B!$C67,0),0))))</f>
        <v/>
      </c>
      <c r="X69">
        <f>IF(Entradas_B!Y67="N/A",0,IF(Itens_B!$D67="risco",IF(Entradas_B!Y67=Itens_B!$E67,Itens_B!$C67,0),IF(Itens_B!$D67="mitigacao",IF(Entradas_B!Y67="Sim",-Itens_B!$C67,Itens_B!$C67),IF(Itens_B!$D67="evidencia",IF(Entradas_B!Y67="Sim",-Itens_B!$C67,0),0))))</f>
        <v/>
      </c>
      <c r="Y69">
        <f>IF(Entradas_B!Z67="N/A",0,IF(Itens_B!$D67="risco",IF(Entradas_B!Z67=Itens_B!$E67,Itens_B!$C67,0),IF(Itens_B!$D67="mitigacao",IF(Entradas_B!Z67="Sim",-Itens_B!$C67,Itens_B!$C67),IF(Itens_B!$D67="evidencia",IF(Entradas_B!Z67="Sim",-Itens_B!$C67,0),0))))</f>
        <v/>
      </c>
      <c r="Z69">
        <f>IF(Entradas_B!AA67="N/A",0,IF(Itens_B!$D67="risco",IF(Entradas_B!AA67=Itens_B!$E67,Itens_B!$C67,0),IF(Itens_B!$D67="mitigacao",IF(Entradas_B!AA67="Sim",-Itens_B!$C67,Itens_B!$C67),IF(Itens_B!$D67="evidencia",IF(Entradas_B!AA67="Sim",-Itens_B!$C67,0),0))))</f>
        <v/>
      </c>
      <c r="AA69">
        <f>IF(Entradas_B!AB67="N/A",0,IF(Itens_B!$D67="risco",IF(Entradas_B!AB67=Itens_B!$E67,Itens_B!$C67,0),IF(Itens_B!$D67="mitigacao",IF(Entradas_B!AB67="Sim",-Itens_B!$C67,Itens_B!$C67),IF(Itens_B!$D67="evidencia",IF(Entradas_B!AB67="Sim",-Itens_B!$C67,0),0))))</f>
        <v/>
      </c>
      <c r="AB69">
        <f>IF(Entradas_B!AC67="N/A",0,IF(Itens_B!$D67="risco",IF(Entradas_B!AC67=Itens_B!$E67,Itens_B!$C67,0),IF(Itens_B!$D67="mitigacao",IF(Entradas_B!AC67="Sim",-Itens_B!$C67,Itens_B!$C67),IF(Itens_B!$D67="evidencia",IF(Entradas_B!AC67="Sim",-Itens_B!$C67,0),0))))</f>
        <v/>
      </c>
      <c r="AC69">
        <f>IF(Entradas_B!AD67="N/A",0,IF(Itens_B!$D67="risco",IF(Entradas_B!AD67=Itens_B!$E67,Itens_B!$C67,0),IF(Itens_B!$D67="mitigacao",IF(Entradas_B!AD67="Sim",-Itens_B!$C67,Itens_B!$C67),IF(Itens_B!$D67="evidencia",IF(Entradas_B!AD67="Sim",-Itens_B!$C67,0),0))))</f>
        <v/>
      </c>
      <c r="AD69">
        <f>IF(Entradas_B!AE67="N/A",0,IF(Itens_B!$D67="risco",IF(Entradas_B!AE67=Itens_B!$E67,Itens_B!$C67,0),IF(Itens_B!$D67="mitigacao",IF(Entradas_B!AE67="Sim",-Itens_B!$C67,Itens_B!$C67),IF(Itens_B!$D67="evidencia",IF(Entradas_B!AE67="Sim",-Itens_B!$C67,0),0))))</f>
        <v/>
      </c>
      <c r="AE69">
        <f>IF(Entradas_B!AF67="N/A",0,IF(Itens_B!$D67="risco",IF(Entradas_B!AF67=Itens_B!$E67,Itens_B!$C67,0),IF(Itens_B!$D67="mitigacao",IF(Entradas_B!AF67="Sim",-Itens_B!$C67,Itens_B!$C67),IF(Itens_B!$D67="evidencia",IF(Entradas_B!AF67="Sim",-Itens_B!$C67,0),0))))</f>
        <v/>
      </c>
      <c r="AF69">
        <f>IF(Entradas_B!AG67="N/A",0,IF(Itens_B!$D67="risco",IF(Entradas_B!AG67=Itens_B!$E67,Itens_B!$C67,0),IF(Itens_B!$D67="mitigacao",IF(Entradas_B!AG67="Sim",-Itens_B!$C67,Itens_B!$C67),IF(Itens_B!$D67="evidencia",IF(Entradas_B!AG67="Sim",-Itens_B!$C67,0),0))))</f>
        <v/>
      </c>
    </row>
    <row r="70">
      <c r="A70" t="inlineStr">
        <is>
          <t>P7.10</t>
        </is>
      </c>
      <c r="B70">
        <f>IF(Entradas_B!C68="N/A",0,IF(Itens_B!$D68="risco",IF(Entradas_B!C68=Itens_B!$E68,Itens_B!$C68,0),IF(Itens_B!$D68="mitigacao",IF(Entradas_B!C68="Sim",-Itens_B!$C68,Itens_B!$C68),IF(Itens_B!$D68="evidencia",IF(Entradas_B!C68="Sim",-Itens_B!$C68,0),0))))</f>
        <v/>
      </c>
      <c r="C70">
        <f>IF(Entradas_B!D68="N/A",0,IF(Itens_B!$D68="risco",IF(Entradas_B!D68=Itens_B!$E68,Itens_B!$C68,0),IF(Itens_B!$D68="mitigacao",IF(Entradas_B!D68="Sim",-Itens_B!$C68,Itens_B!$C68),IF(Itens_B!$D68="evidencia",IF(Entradas_B!D68="Sim",-Itens_B!$C68,0),0))))</f>
        <v/>
      </c>
      <c r="D70">
        <f>IF(Entradas_B!E68="N/A",0,IF(Itens_B!$D68="risco",IF(Entradas_B!E68=Itens_B!$E68,Itens_B!$C68,0),IF(Itens_B!$D68="mitigacao",IF(Entradas_B!E68="Sim",-Itens_B!$C68,Itens_B!$C68),IF(Itens_B!$D68="evidencia",IF(Entradas_B!E68="Sim",-Itens_B!$C68,0),0))))</f>
        <v/>
      </c>
      <c r="E70">
        <f>IF(Entradas_B!F68="N/A",0,IF(Itens_B!$D68="risco",IF(Entradas_B!F68=Itens_B!$E68,Itens_B!$C68,0),IF(Itens_B!$D68="mitigacao",IF(Entradas_B!F68="Sim",-Itens_B!$C68,Itens_B!$C68),IF(Itens_B!$D68="evidencia",IF(Entradas_B!F68="Sim",-Itens_B!$C68,0),0))))</f>
        <v/>
      </c>
      <c r="F70">
        <f>IF(Entradas_B!G68="N/A",0,IF(Itens_B!$D68="risco",IF(Entradas_B!G68=Itens_B!$E68,Itens_B!$C68,0),IF(Itens_B!$D68="mitigacao",IF(Entradas_B!G68="Sim",-Itens_B!$C68,Itens_B!$C68),IF(Itens_B!$D68="evidencia",IF(Entradas_B!G68="Sim",-Itens_B!$C68,0),0))))</f>
        <v/>
      </c>
      <c r="G70">
        <f>IF(Entradas_B!H68="N/A",0,IF(Itens_B!$D68="risco",IF(Entradas_B!H68=Itens_B!$E68,Itens_B!$C68,0),IF(Itens_B!$D68="mitigacao",IF(Entradas_B!H68="Sim",-Itens_B!$C68,Itens_B!$C68),IF(Itens_B!$D68="evidencia",IF(Entradas_B!H68="Sim",-Itens_B!$C68,0),0))))</f>
        <v/>
      </c>
      <c r="H70">
        <f>IF(Entradas_B!I68="N/A",0,IF(Itens_B!$D68="risco",IF(Entradas_B!I68=Itens_B!$E68,Itens_B!$C68,0),IF(Itens_B!$D68="mitigacao",IF(Entradas_B!I68="Sim",-Itens_B!$C68,Itens_B!$C68),IF(Itens_B!$D68="evidencia",IF(Entradas_B!I68="Sim",-Itens_B!$C68,0),0))))</f>
        <v/>
      </c>
      <c r="I70">
        <f>IF(Entradas_B!J68="N/A",0,IF(Itens_B!$D68="risco",IF(Entradas_B!J68=Itens_B!$E68,Itens_B!$C68,0),IF(Itens_B!$D68="mitigacao",IF(Entradas_B!J68="Sim",-Itens_B!$C68,Itens_B!$C68),IF(Itens_B!$D68="evidencia",IF(Entradas_B!J68="Sim",-Itens_B!$C68,0),0))))</f>
        <v/>
      </c>
      <c r="J70">
        <f>IF(Entradas_B!K68="N/A",0,IF(Itens_B!$D68="risco",IF(Entradas_B!K68=Itens_B!$E68,Itens_B!$C68,0),IF(Itens_B!$D68="mitigacao",IF(Entradas_B!K68="Sim",-Itens_B!$C68,Itens_B!$C68),IF(Itens_B!$D68="evidencia",IF(Entradas_B!K68="Sim",-Itens_B!$C68,0),0))))</f>
        <v/>
      </c>
      <c r="K70">
        <f>IF(Entradas_B!L68="N/A",0,IF(Itens_B!$D68="risco",IF(Entradas_B!L68=Itens_B!$E68,Itens_B!$C68,0),IF(Itens_B!$D68="mitigacao",IF(Entradas_B!L68="Sim",-Itens_B!$C68,Itens_B!$C68),IF(Itens_B!$D68="evidencia",IF(Entradas_B!L68="Sim",-Itens_B!$C68,0),0))))</f>
        <v/>
      </c>
      <c r="L70">
        <f>IF(Entradas_B!M68="N/A",0,IF(Itens_B!$D68="risco",IF(Entradas_B!M68=Itens_B!$E68,Itens_B!$C68,0),IF(Itens_B!$D68="mitigacao",IF(Entradas_B!M68="Sim",-Itens_B!$C68,Itens_B!$C68),IF(Itens_B!$D68="evidencia",IF(Entradas_B!M68="Sim",-Itens_B!$C68,0),0))))</f>
        <v/>
      </c>
      <c r="M70">
        <f>IF(Entradas_B!N68="N/A",0,IF(Itens_B!$D68="risco",IF(Entradas_B!N68=Itens_B!$E68,Itens_B!$C68,0),IF(Itens_B!$D68="mitigacao",IF(Entradas_B!N68="Sim",-Itens_B!$C68,Itens_B!$C68),IF(Itens_B!$D68="evidencia",IF(Entradas_B!N68="Sim",-Itens_B!$C68,0),0))))</f>
        <v/>
      </c>
      <c r="N70">
        <f>IF(Entradas_B!O68="N/A",0,IF(Itens_B!$D68="risco",IF(Entradas_B!O68=Itens_B!$E68,Itens_B!$C68,0),IF(Itens_B!$D68="mitigacao",IF(Entradas_B!O68="Sim",-Itens_B!$C68,Itens_B!$C68),IF(Itens_B!$D68="evidencia",IF(Entradas_B!O68="Sim",-Itens_B!$C68,0),0))))</f>
        <v/>
      </c>
      <c r="O70">
        <f>IF(Entradas_B!P68="N/A",0,IF(Itens_B!$D68="risco",IF(Entradas_B!P68=Itens_B!$E68,Itens_B!$C68,0),IF(Itens_B!$D68="mitigacao",IF(Entradas_B!P68="Sim",-Itens_B!$C68,Itens_B!$C68),IF(Itens_B!$D68="evidencia",IF(Entradas_B!P68="Sim",-Itens_B!$C68,0),0))))</f>
        <v/>
      </c>
      <c r="P70">
        <f>IF(Entradas_B!Q68="N/A",0,IF(Itens_B!$D68="risco",IF(Entradas_B!Q68=Itens_B!$E68,Itens_B!$C68,0),IF(Itens_B!$D68="mitigacao",IF(Entradas_B!Q68="Sim",-Itens_B!$C68,Itens_B!$C68),IF(Itens_B!$D68="evidencia",IF(Entradas_B!Q68="Sim",-Itens_B!$C68,0),0))))</f>
        <v/>
      </c>
      <c r="Q70">
        <f>IF(Entradas_B!R68="N/A",0,IF(Itens_B!$D68="risco",IF(Entradas_B!R68=Itens_B!$E68,Itens_B!$C68,0),IF(Itens_B!$D68="mitigacao",IF(Entradas_B!R68="Sim",-Itens_B!$C68,Itens_B!$C68),IF(Itens_B!$D68="evidencia",IF(Entradas_B!R68="Sim",-Itens_B!$C68,0),0))))</f>
        <v/>
      </c>
      <c r="R70">
        <f>IF(Entradas_B!S68="N/A",0,IF(Itens_B!$D68="risco",IF(Entradas_B!S68=Itens_B!$E68,Itens_B!$C68,0),IF(Itens_B!$D68="mitigacao",IF(Entradas_B!S68="Sim",-Itens_B!$C68,Itens_B!$C68),IF(Itens_B!$D68="evidencia",IF(Entradas_B!S68="Sim",-Itens_B!$C68,0),0))))</f>
        <v/>
      </c>
      <c r="S70">
        <f>IF(Entradas_B!T68="N/A",0,IF(Itens_B!$D68="risco",IF(Entradas_B!T68=Itens_B!$E68,Itens_B!$C68,0),IF(Itens_B!$D68="mitigacao",IF(Entradas_B!T68="Sim",-Itens_B!$C68,Itens_B!$C68),IF(Itens_B!$D68="evidencia",IF(Entradas_B!T68="Sim",-Itens_B!$C68,0),0))))</f>
        <v/>
      </c>
      <c r="T70">
        <f>IF(Entradas_B!U68="N/A",0,IF(Itens_B!$D68="risco",IF(Entradas_B!U68=Itens_B!$E68,Itens_B!$C68,0),IF(Itens_B!$D68="mitigacao",IF(Entradas_B!U68="Sim",-Itens_B!$C68,Itens_B!$C68),IF(Itens_B!$D68="evidencia",IF(Entradas_B!U68="Sim",-Itens_B!$C68,0),0))))</f>
        <v/>
      </c>
      <c r="U70">
        <f>IF(Entradas_B!V68="N/A",0,IF(Itens_B!$D68="risco",IF(Entradas_B!V68=Itens_B!$E68,Itens_B!$C68,0),IF(Itens_B!$D68="mitigacao",IF(Entradas_B!V68="Sim",-Itens_B!$C68,Itens_B!$C68),IF(Itens_B!$D68="evidencia",IF(Entradas_B!V68="Sim",-Itens_B!$C68,0),0))))</f>
        <v/>
      </c>
      <c r="V70">
        <f>IF(Entradas_B!W68="N/A",0,IF(Itens_B!$D68="risco",IF(Entradas_B!W68=Itens_B!$E68,Itens_B!$C68,0),IF(Itens_B!$D68="mitigacao",IF(Entradas_B!W68="Sim",-Itens_B!$C68,Itens_B!$C68),IF(Itens_B!$D68="evidencia",IF(Entradas_B!W68="Sim",-Itens_B!$C68,0),0))))</f>
        <v/>
      </c>
      <c r="W70">
        <f>IF(Entradas_B!X68="N/A",0,IF(Itens_B!$D68="risco",IF(Entradas_B!X68=Itens_B!$E68,Itens_B!$C68,0),IF(Itens_B!$D68="mitigacao",IF(Entradas_B!X68="Sim",-Itens_B!$C68,Itens_B!$C68),IF(Itens_B!$D68="evidencia",IF(Entradas_B!X68="Sim",-Itens_B!$C68,0),0))))</f>
        <v/>
      </c>
      <c r="X70">
        <f>IF(Entradas_B!Y68="N/A",0,IF(Itens_B!$D68="risco",IF(Entradas_B!Y68=Itens_B!$E68,Itens_B!$C68,0),IF(Itens_B!$D68="mitigacao",IF(Entradas_B!Y68="Sim",-Itens_B!$C68,Itens_B!$C68),IF(Itens_B!$D68="evidencia",IF(Entradas_B!Y68="Sim",-Itens_B!$C68,0),0))))</f>
        <v/>
      </c>
      <c r="Y70">
        <f>IF(Entradas_B!Z68="N/A",0,IF(Itens_B!$D68="risco",IF(Entradas_B!Z68=Itens_B!$E68,Itens_B!$C68,0),IF(Itens_B!$D68="mitigacao",IF(Entradas_B!Z68="Sim",-Itens_B!$C68,Itens_B!$C68),IF(Itens_B!$D68="evidencia",IF(Entradas_B!Z68="Sim",-Itens_B!$C68,0),0))))</f>
        <v/>
      </c>
      <c r="Z70">
        <f>IF(Entradas_B!AA68="N/A",0,IF(Itens_B!$D68="risco",IF(Entradas_B!AA68=Itens_B!$E68,Itens_B!$C68,0),IF(Itens_B!$D68="mitigacao",IF(Entradas_B!AA68="Sim",-Itens_B!$C68,Itens_B!$C68),IF(Itens_B!$D68="evidencia",IF(Entradas_B!AA68="Sim",-Itens_B!$C68,0),0))))</f>
        <v/>
      </c>
      <c r="AA70">
        <f>IF(Entradas_B!AB68="N/A",0,IF(Itens_B!$D68="risco",IF(Entradas_B!AB68=Itens_B!$E68,Itens_B!$C68,0),IF(Itens_B!$D68="mitigacao",IF(Entradas_B!AB68="Sim",-Itens_B!$C68,Itens_B!$C68),IF(Itens_B!$D68="evidencia",IF(Entradas_B!AB68="Sim",-Itens_B!$C68,0),0))))</f>
        <v/>
      </c>
      <c r="AB70">
        <f>IF(Entradas_B!AC68="N/A",0,IF(Itens_B!$D68="risco",IF(Entradas_B!AC68=Itens_B!$E68,Itens_B!$C68,0),IF(Itens_B!$D68="mitigacao",IF(Entradas_B!AC68="Sim",-Itens_B!$C68,Itens_B!$C68),IF(Itens_B!$D68="evidencia",IF(Entradas_B!AC68="Sim",-Itens_B!$C68,0),0))))</f>
        <v/>
      </c>
      <c r="AC70">
        <f>IF(Entradas_B!AD68="N/A",0,IF(Itens_B!$D68="risco",IF(Entradas_B!AD68=Itens_B!$E68,Itens_B!$C68,0),IF(Itens_B!$D68="mitigacao",IF(Entradas_B!AD68="Sim",-Itens_B!$C68,Itens_B!$C68),IF(Itens_B!$D68="evidencia",IF(Entradas_B!AD68="Sim",-Itens_B!$C68,0),0))))</f>
        <v/>
      </c>
      <c r="AD70">
        <f>IF(Entradas_B!AE68="N/A",0,IF(Itens_B!$D68="risco",IF(Entradas_B!AE68=Itens_B!$E68,Itens_B!$C68,0),IF(Itens_B!$D68="mitigacao",IF(Entradas_B!AE68="Sim",-Itens_B!$C68,Itens_B!$C68),IF(Itens_B!$D68="evidencia",IF(Entradas_B!AE68="Sim",-Itens_B!$C68,0),0))))</f>
        <v/>
      </c>
      <c r="AE70">
        <f>IF(Entradas_B!AF68="N/A",0,IF(Itens_B!$D68="risco",IF(Entradas_B!AF68=Itens_B!$E68,Itens_B!$C68,0),IF(Itens_B!$D68="mitigacao",IF(Entradas_B!AF68="Sim",-Itens_B!$C68,Itens_B!$C68),IF(Itens_B!$D68="evidencia",IF(Entradas_B!AF68="Sim",-Itens_B!$C68,0),0))))</f>
        <v/>
      </c>
      <c r="AF70">
        <f>IF(Entradas_B!AG68="N/A",0,IF(Itens_B!$D68="risco",IF(Entradas_B!AG68=Itens_B!$E68,Itens_B!$C68,0),IF(Itens_B!$D68="mitigacao",IF(Entradas_B!AG68="Sim",-Itens_B!$C68,Itens_B!$C68),IF(Itens_B!$D68="evidencia",IF(Entradas_B!AG68="Sim",-Itens_B!$C68,0),0))))</f>
        <v/>
      </c>
    </row>
    <row r="71">
      <c r="A71" t="inlineStr">
        <is>
          <t>P7.11</t>
        </is>
      </c>
      <c r="B71">
        <f>IF(Entradas_B!C69="N/A",0,IF(Itens_B!$D69="risco",IF(Entradas_B!C69=Itens_B!$E69,Itens_B!$C69,0),IF(Itens_B!$D69="mitigacao",IF(Entradas_B!C69="Sim",-Itens_B!$C69,Itens_B!$C69),IF(Itens_B!$D69="evidencia",IF(Entradas_B!C69="Sim",-Itens_B!$C69,0),0))))</f>
        <v/>
      </c>
      <c r="C71">
        <f>IF(Entradas_B!D69="N/A",0,IF(Itens_B!$D69="risco",IF(Entradas_B!D69=Itens_B!$E69,Itens_B!$C69,0),IF(Itens_B!$D69="mitigacao",IF(Entradas_B!D69="Sim",-Itens_B!$C69,Itens_B!$C69),IF(Itens_B!$D69="evidencia",IF(Entradas_B!D69="Sim",-Itens_B!$C69,0),0))))</f>
        <v/>
      </c>
      <c r="D71">
        <f>IF(Entradas_B!E69="N/A",0,IF(Itens_B!$D69="risco",IF(Entradas_B!E69=Itens_B!$E69,Itens_B!$C69,0),IF(Itens_B!$D69="mitigacao",IF(Entradas_B!E69="Sim",-Itens_B!$C69,Itens_B!$C69),IF(Itens_B!$D69="evidencia",IF(Entradas_B!E69="Sim",-Itens_B!$C69,0),0))))</f>
        <v/>
      </c>
      <c r="E71">
        <f>IF(Entradas_B!F69="N/A",0,IF(Itens_B!$D69="risco",IF(Entradas_B!F69=Itens_B!$E69,Itens_B!$C69,0),IF(Itens_B!$D69="mitigacao",IF(Entradas_B!F69="Sim",-Itens_B!$C69,Itens_B!$C69),IF(Itens_B!$D69="evidencia",IF(Entradas_B!F69="Sim",-Itens_B!$C69,0),0))))</f>
        <v/>
      </c>
      <c r="F71">
        <f>IF(Entradas_B!G69="N/A",0,IF(Itens_B!$D69="risco",IF(Entradas_B!G69=Itens_B!$E69,Itens_B!$C69,0),IF(Itens_B!$D69="mitigacao",IF(Entradas_B!G69="Sim",-Itens_B!$C69,Itens_B!$C69),IF(Itens_B!$D69="evidencia",IF(Entradas_B!G69="Sim",-Itens_B!$C69,0),0))))</f>
        <v/>
      </c>
      <c r="G71">
        <f>IF(Entradas_B!H69="N/A",0,IF(Itens_B!$D69="risco",IF(Entradas_B!H69=Itens_B!$E69,Itens_B!$C69,0),IF(Itens_B!$D69="mitigacao",IF(Entradas_B!H69="Sim",-Itens_B!$C69,Itens_B!$C69),IF(Itens_B!$D69="evidencia",IF(Entradas_B!H69="Sim",-Itens_B!$C69,0),0))))</f>
        <v/>
      </c>
      <c r="H71">
        <f>IF(Entradas_B!I69="N/A",0,IF(Itens_B!$D69="risco",IF(Entradas_B!I69=Itens_B!$E69,Itens_B!$C69,0),IF(Itens_B!$D69="mitigacao",IF(Entradas_B!I69="Sim",-Itens_B!$C69,Itens_B!$C69),IF(Itens_B!$D69="evidencia",IF(Entradas_B!I69="Sim",-Itens_B!$C69,0),0))))</f>
        <v/>
      </c>
      <c r="I71">
        <f>IF(Entradas_B!J69="N/A",0,IF(Itens_B!$D69="risco",IF(Entradas_B!J69=Itens_B!$E69,Itens_B!$C69,0),IF(Itens_B!$D69="mitigacao",IF(Entradas_B!J69="Sim",-Itens_B!$C69,Itens_B!$C69),IF(Itens_B!$D69="evidencia",IF(Entradas_B!J69="Sim",-Itens_B!$C69,0),0))))</f>
        <v/>
      </c>
      <c r="J71">
        <f>IF(Entradas_B!K69="N/A",0,IF(Itens_B!$D69="risco",IF(Entradas_B!K69=Itens_B!$E69,Itens_B!$C69,0),IF(Itens_B!$D69="mitigacao",IF(Entradas_B!K69="Sim",-Itens_B!$C69,Itens_B!$C69),IF(Itens_B!$D69="evidencia",IF(Entradas_B!K69="Sim",-Itens_B!$C69,0),0))))</f>
        <v/>
      </c>
      <c r="K71">
        <f>IF(Entradas_B!L69="N/A",0,IF(Itens_B!$D69="risco",IF(Entradas_B!L69=Itens_B!$E69,Itens_B!$C69,0),IF(Itens_B!$D69="mitigacao",IF(Entradas_B!L69="Sim",-Itens_B!$C69,Itens_B!$C69),IF(Itens_B!$D69="evidencia",IF(Entradas_B!L69="Sim",-Itens_B!$C69,0),0))))</f>
        <v/>
      </c>
      <c r="L71">
        <f>IF(Entradas_B!M69="N/A",0,IF(Itens_B!$D69="risco",IF(Entradas_B!M69=Itens_B!$E69,Itens_B!$C69,0),IF(Itens_B!$D69="mitigacao",IF(Entradas_B!M69="Sim",-Itens_B!$C69,Itens_B!$C69),IF(Itens_B!$D69="evidencia",IF(Entradas_B!M69="Sim",-Itens_B!$C69,0),0))))</f>
        <v/>
      </c>
      <c r="M71">
        <f>IF(Entradas_B!N69="N/A",0,IF(Itens_B!$D69="risco",IF(Entradas_B!N69=Itens_B!$E69,Itens_B!$C69,0),IF(Itens_B!$D69="mitigacao",IF(Entradas_B!N69="Sim",-Itens_B!$C69,Itens_B!$C69),IF(Itens_B!$D69="evidencia",IF(Entradas_B!N69="Sim",-Itens_B!$C69,0),0))))</f>
        <v/>
      </c>
      <c r="N71">
        <f>IF(Entradas_B!O69="N/A",0,IF(Itens_B!$D69="risco",IF(Entradas_B!O69=Itens_B!$E69,Itens_B!$C69,0),IF(Itens_B!$D69="mitigacao",IF(Entradas_B!O69="Sim",-Itens_B!$C69,Itens_B!$C69),IF(Itens_B!$D69="evidencia",IF(Entradas_B!O69="Sim",-Itens_B!$C69,0),0))))</f>
        <v/>
      </c>
      <c r="O71">
        <f>IF(Entradas_B!P69="N/A",0,IF(Itens_B!$D69="risco",IF(Entradas_B!P69=Itens_B!$E69,Itens_B!$C69,0),IF(Itens_B!$D69="mitigacao",IF(Entradas_B!P69="Sim",-Itens_B!$C69,Itens_B!$C69),IF(Itens_B!$D69="evidencia",IF(Entradas_B!P69="Sim",-Itens_B!$C69,0),0))))</f>
        <v/>
      </c>
      <c r="P71">
        <f>IF(Entradas_B!Q69="N/A",0,IF(Itens_B!$D69="risco",IF(Entradas_B!Q69=Itens_B!$E69,Itens_B!$C69,0),IF(Itens_B!$D69="mitigacao",IF(Entradas_B!Q69="Sim",-Itens_B!$C69,Itens_B!$C69),IF(Itens_B!$D69="evidencia",IF(Entradas_B!Q69="Sim",-Itens_B!$C69,0),0))))</f>
        <v/>
      </c>
      <c r="Q71">
        <f>IF(Entradas_B!R69="N/A",0,IF(Itens_B!$D69="risco",IF(Entradas_B!R69=Itens_B!$E69,Itens_B!$C69,0),IF(Itens_B!$D69="mitigacao",IF(Entradas_B!R69="Sim",-Itens_B!$C69,Itens_B!$C69),IF(Itens_B!$D69="evidencia",IF(Entradas_B!R69="Sim",-Itens_B!$C69,0),0))))</f>
        <v/>
      </c>
      <c r="R71">
        <f>IF(Entradas_B!S69="N/A",0,IF(Itens_B!$D69="risco",IF(Entradas_B!S69=Itens_B!$E69,Itens_B!$C69,0),IF(Itens_B!$D69="mitigacao",IF(Entradas_B!S69="Sim",-Itens_B!$C69,Itens_B!$C69),IF(Itens_B!$D69="evidencia",IF(Entradas_B!S69="Sim",-Itens_B!$C69,0),0))))</f>
        <v/>
      </c>
      <c r="S71">
        <f>IF(Entradas_B!T69="N/A",0,IF(Itens_B!$D69="risco",IF(Entradas_B!T69=Itens_B!$E69,Itens_B!$C69,0),IF(Itens_B!$D69="mitigacao",IF(Entradas_B!T69="Sim",-Itens_B!$C69,Itens_B!$C69),IF(Itens_B!$D69="evidencia",IF(Entradas_B!T69="Sim",-Itens_B!$C69,0),0))))</f>
        <v/>
      </c>
      <c r="T71">
        <f>IF(Entradas_B!U69="N/A",0,IF(Itens_B!$D69="risco",IF(Entradas_B!U69=Itens_B!$E69,Itens_B!$C69,0),IF(Itens_B!$D69="mitigacao",IF(Entradas_B!U69="Sim",-Itens_B!$C69,Itens_B!$C69),IF(Itens_B!$D69="evidencia",IF(Entradas_B!U69="Sim",-Itens_B!$C69,0),0))))</f>
        <v/>
      </c>
      <c r="U71">
        <f>IF(Entradas_B!V69="N/A",0,IF(Itens_B!$D69="risco",IF(Entradas_B!V69=Itens_B!$E69,Itens_B!$C69,0),IF(Itens_B!$D69="mitigacao",IF(Entradas_B!V69="Sim",-Itens_B!$C69,Itens_B!$C69),IF(Itens_B!$D69="evidencia",IF(Entradas_B!V69="Sim",-Itens_B!$C69,0),0))))</f>
        <v/>
      </c>
      <c r="V71">
        <f>IF(Entradas_B!W69="N/A",0,IF(Itens_B!$D69="risco",IF(Entradas_B!W69=Itens_B!$E69,Itens_B!$C69,0),IF(Itens_B!$D69="mitigacao",IF(Entradas_B!W69="Sim",-Itens_B!$C69,Itens_B!$C69),IF(Itens_B!$D69="evidencia",IF(Entradas_B!W69="Sim",-Itens_B!$C69,0),0))))</f>
        <v/>
      </c>
      <c r="W71">
        <f>IF(Entradas_B!X69="N/A",0,IF(Itens_B!$D69="risco",IF(Entradas_B!X69=Itens_B!$E69,Itens_B!$C69,0),IF(Itens_B!$D69="mitigacao",IF(Entradas_B!X69="Sim",-Itens_B!$C69,Itens_B!$C69),IF(Itens_B!$D69="evidencia",IF(Entradas_B!X69="Sim",-Itens_B!$C69,0),0))))</f>
        <v/>
      </c>
      <c r="X71">
        <f>IF(Entradas_B!Y69="N/A",0,IF(Itens_B!$D69="risco",IF(Entradas_B!Y69=Itens_B!$E69,Itens_B!$C69,0),IF(Itens_B!$D69="mitigacao",IF(Entradas_B!Y69="Sim",-Itens_B!$C69,Itens_B!$C69),IF(Itens_B!$D69="evidencia",IF(Entradas_B!Y69="Sim",-Itens_B!$C69,0),0))))</f>
        <v/>
      </c>
      <c r="Y71">
        <f>IF(Entradas_B!Z69="N/A",0,IF(Itens_B!$D69="risco",IF(Entradas_B!Z69=Itens_B!$E69,Itens_B!$C69,0),IF(Itens_B!$D69="mitigacao",IF(Entradas_B!Z69="Sim",-Itens_B!$C69,Itens_B!$C69),IF(Itens_B!$D69="evidencia",IF(Entradas_B!Z69="Sim",-Itens_B!$C69,0),0))))</f>
        <v/>
      </c>
      <c r="Z71">
        <f>IF(Entradas_B!AA69="N/A",0,IF(Itens_B!$D69="risco",IF(Entradas_B!AA69=Itens_B!$E69,Itens_B!$C69,0),IF(Itens_B!$D69="mitigacao",IF(Entradas_B!AA69="Sim",-Itens_B!$C69,Itens_B!$C69),IF(Itens_B!$D69="evidencia",IF(Entradas_B!AA69="Sim",-Itens_B!$C69,0),0))))</f>
        <v/>
      </c>
      <c r="AA71">
        <f>IF(Entradas_B!AB69="N/A",0,IF(Itens_B!$D69="risco",IF(Entradas_B!AB69=Itens_B!$E69,Itens_B!$C69,0),IF(Itens_B!$D69="mitigacao",IF(Entradas_B!AB69="Sim",-Itens_B!$C69,Itens_B!$C69),IF(Itens_B!$D69="evidencia",IF(Entradas_B!AB69="Sim",-Itens_B!$C69,0),0))))</f>
        <v/>
      </c>
      <c r="AB71">
        <f>IF(Entradas_B!AC69="N/A",0,IF(Itens_B!$D69="risco",IF(Entradas_B!AC69=Itens_B!$E69,Itens_B!$C69,0),IF(Itens_B!$D69="mitigacao",IF(Entradas_B!AC69="Sim",-Itens_B!$C69,Itens_B!$C69),IF(Itens_B!$D69="evidencia",IF(Entradas_B!AC69="Sim",-Itens_B!$C69,0),0))))</f>
        <v/>
      </c>
      <c r="AC71">
        <f>IF(Entradas_B!AD69="N/A",0,IF(Itens_B!$D69="risco",IF(Entradas_B!AD69=Itens_B!$E69,Itens_B!$C69,0),IF(Itens_B!$D69="mitigacao",IF(Entradas_B!AD69="Sim",-Itens_B!$C69,Itens_B!$C69),IF(Itens_B!$D69="evidencia",IF(Entradas_B!AD69="Sim",-Itens_B!$C69,0),0))))</f>
        <v/>
      </c>
      <c r="AD71">
        <f>IF(Entradas_B!AE69="N/A",0,IF(Itens_B!$D69="risco",IF(Entradas_B!AE69=Itens_B!$E69,Itens_B!$C69,0),IF(Itens_B!$D69="mitigacao",IF(Entradas_B!AE69="Sim",-Itens_B!$C69,Itens_B!$C69),IF(Itens_B!$D69="evidencia",IF(Entradas_B!AE69="Sim",-Itens_B!$C69,0),0))))</f>
        <v/>
      </c>
      <c r="AE71">
        <f>IF(Entradas_B!AF69="N/A",0,IF(Itens_B!$D69="risco",IF(Entradas_B!AF69=Itens_B!$E69,Itens_B!$C69,0),IF(Itens_B!$D69="mitigacao",IF(Entradas_B!AF69="Sim",-Itens_B!$C69,Itens_B!$C69),IF(Itens_B!$D69="evidencia",IF(Entradas_B!AF69="Sim",-Itens_B!$C69,0),0))))</f>
        <v/>
      </c>
      <c r="AF71">
        <f>IF(Entradas_B!AG69="N/A",0,IF(Itens_B!$D69="risco",IF(Entradas_B!AG69=Itens_B!$E69,Itens_B!$C69,0),IF(Itens_B!$D69="mitigacao",IF(Entradas_B!AG69="Sim",-Itens_B!$C69,Itens_B!$C69),IF(Itens_B!$D69="evidencia",IF(Entradas_B!AG69="Sim",-Itens_B!$C69,0),0))))</f>
        <v/>
      </c>
    </row>
    <row r="72">
      <c r="A72" t="inlineStr">
        <is>
          <t>P7.12</t>
        </is>
      </c>
      <c r="B72">
        <f>IF(Entradas_B!C70="N/A",0,IF(Itens_B!$D70="risco",IF(Entradas_B!C70=Itens_B!$E70,Itens_B!$C70,0),IF(Itens_B!$D70="mitigacao",IF(Entradas_B!C70="Sim",-Itens_B!$C70,Itens_B!$C70),IF(Itens_B!$D70="evidencia",IF(Entradas_B!C70="Sim",-Itens_B!$C70,0),0))))</f>
        <v/>
      </c>
      <c r="C72">
        <f>IF(Entradas_B!D70="N/A",0,IF(Itens_B!$D70="risco",IF(Entradas_B!D70=Itens_B!$E70,Itens_B!$C70,0),IF(Itens_B!$D70="mitigacao",IF(Entradas_B!D70="Sim",-Itens_B!$C70,Itens_B!$C70),IF(Itens_B!$D70="evidencia",IF(Entradas_B!D70="Sim",-Itens_B!$C70,0),0))))</f>
        <v/>
      </c>
      <c r="D72">
        <f>IF(Entradas_B!E70="N/A",0,IF(Itens_B!$D70="risco",IF(Entradas_B!E70=Itens_B!$E70,Itens_B!$C70,0),IF(Itens_B!$D70="mitigacao",IF(Entradas_B!E70="Sim",-Itens_B!$C70,Itens_B!$C70),IF(Itens_B!$D70="evidencia",IF(Entradas_B!E70="Sim",-Itens_B!$C70,0),0))))</f>
        <v/>
      </c>
      <c r="E72">
        <f>IF(Entradas_B!F70="N/A",0,IF(Itens_B!$D70="risco",IF(Entradas_B!F70=Itens_B!$E70,Itens_B!$C70,0),IF(Itens_B!$D70="mitigacao",IF(Entradas_B!F70="Sim",-Itens_B!$C70,Itens_B!$C70),IF(Itens_B!$D70="evidencia",IF(Entradas_B!F70="Sim",-Itens_B!$C70,0),0))))</f>
        <v/>
      </c>
      <c r="F72">
        <f>IF(Entradas_B!G70="N/A",0,IF(Itens_B!$D70="risco",IF(Entradas_B!G70=Itens_B!$E70,Itens_B!$C70,0),IF(Itens_B!$D70="mitigacao",IF(Entradas_B!G70="Sim",-Itens_B!$C70,Itens_B!$C70),IF(Itens_B!$D70="evidencia",IF(Entradas_B!G70="Sim",-Itens_B!$C70,0),0))))</f>
        <v/>
      </c>
      <c r="G72">
        <f>IF(Entradas_B!H70="N/A",0,IF(Itens_B!$D70="risco",IF(Entradas_B!H70=Itens_B!$E70,Itens_B!$C70,0),IF(Itens_B!$D70="mitigacao",IF(Entradas_B!H70="Sim",-Itens_B!$C70,Itens_B!$C70),IF(Itens_B!$D70="evidencia",IF(Entradas_B!H70="Sim",-Itens_B!$C70,0),0))))</f>
        <v/>
      </c>
      <c r="H72">
        <f>IF(Entradas_B!I70="N/A",0,IF(Itens_B!$D70="risco",IF(Entradas_B!I70=Itens_B!$E70,Itens_B!$C70,0),IF(Itens_B!$D70="mitigacao",IF(Entradas_B!I70="Sim",-Itens_B!$C70,Itens_B!$C70),IF(Itens_B!$D70="evidencia",IF(Entradas_B!I70="Sim",-Itens_B!$C70,0),0))))</f>
        <v/>
      </c>
      <c r="I72">
        <f>IF(Entradas_B!J70="N/A",0,IF(Itens_B!$D70="risco",IF(Entradas_B!J70=Itens_B!$E70,Itens_B!$C70,0),IF(Itens_B!$D70="mitigacao",IF(Entradas_B!J70="Sim",-Itens_B!$C70,Itens_B!$C70),IF(Itens_B!$D70="evidencia",IF(Entradas_B!J70="Sim",-Itens_B!$C70,0),0))))</f>
        <v/>
      </c>
      <c r="J72">
        <f>IF(Entradas_B!K70="N/A",0,IF(Itens_B!$D70="risco",IF(Entradas_B!K70=Itens_B!$E70,Itens_B!$C70,0),IF(Itens_B!$D70="mitigacao",IF(Entradas_B!K70="Sim",-Itens_B!$C70,Itens_B!$C70),IF(Itens_B!$D70="evidencia",IF(Entradas_B!K70="Sim",-Itens_B!$C70,0),0))))</f>
        <v/>
      </c>
      <c r="K72">
        <f>IF(Entradas_B!L70="N/A",0,IF(Itens_B!$D70="risco",IF(Entradas_B!L70=Itens_B!$E70,Itens_B!$C70,0),IF(Itens_B!$D70="mitigacao",IF(Entradas_B!L70="Sim",-Itens_B!$C70,Itens_B!$C70),IF(Itens_B!$D70="evidencia",IF(Entradas_B!L70="Sim",-Itens_B!$C70,0),0))))</f>
        <v/>
      </c>
      <c r="L72">
        <f>IF(Entradas_B!M70="N/A",0,IF(Itens_B!$D70="risco",IF(Entradas_B!M70=Itens_B!$E70,Itens_B!$C70,0),IF(Itens_B!$D70="mitigacao",IF(Entradas_B!M70="Sim",-Itens_B!$C70,Itens_B!$C70),IF(Itens_B!$D70="evidencia",IF(Entradas_B!M70="Sim",-Itens_B!$C70,0),0))))</f>
        <v/>
      </c>
      <c r="M72">
        <f>IF(Entradas_B!N70="N/A",0,IF(Itens_B!$D70="risco",IF(Entradas_B!N70=Itens_B!$E70,Itens_B!$C70,0),IF(Itens_B!$D70="mitigacao",IF(Entradas_B!N70="Sim",-Itens_B!$C70,Itens_B!$C70),IF(Itens_B!$D70="evidencia",IF(Entradas_B!N70="Sim",-Itens_B!$C70,0),0))))</f>
        <v/>
      </c>
      <c r="N72">
        <f>IF(Entradas_B!O70="N/A",0,IF(Itens_B!$D70="risco",IF(Entradas_B!O70=Itens_B!$E70,Itens_B!$C70,0),IF(Itens_B!$D70="mitigacao",IF(Entradas_B!O70="Sim",-Itens_B!$C70,Itens_B!$C70),IF(Itens_B!$D70="evidencia",IF(Entradas_B!O70="Sim",-Itens_B!$C70,0),0))))</f>
        <v/>
      </c>
      <c r="O72">
        <f>IF(Entradas_B!P70="N/A",0,IF(Itens_B!$D70="risco",IF(Entradas_B!P70=Itens_B!$E70,Itens_B!$C70,0),IF(Itens_B!$D70="mitigacao",IF(Entradas_B!P70="Sim",-Itens_B!$C70,Itens_B!$C70),IF(Itens_B!$D70="evidencia",IF(Entradas_B!P70="Sim",-Itens_B!$C70,0),0))))</f>
        <v/>
      </c>
      <c r="P72">
        <f>IF(Entradas_B!Q70="N/A",0,IF(Itens_B!$D70="risco",IF(Entradas_B!Q70=Itens_B!$E70,Itens_B!$C70,0),IF(Itens_B!$D70="mitigacao",IF(Entradas_B!Q70="Sim",-Itens_B!$C70,Itens_B!$C70),IF(Itens_B!$D70="evidencia",IF(Entradas_B!Q70="Sim",-Itens_B!$C70,0),0))))</f>
        <v/>
      </c>
      <c r="Q72">
        <f>IF(Entradas_B!R70="N/A",0,IF(Itens_B!$D70="risco",IF(Entradas_B!R70=Itens_B!$E70,Itens_B!$C70,0),IF(Itens_B!$D70="mitigacao",IF(Entradas_B!R70="Sim",-Itens_B!$C70,Itens_B!$C70),IF(Itens_B!$D70="evidencia",IF(Entradas_B!R70="Sim",-Itens_B!$C70,0),0))))</f>
        <v/>
      </c>
      <c r="R72">
        <f>IF(Entradas_B!S70="N/A",0,IF(Itens_B!$D70="risco",IF(Entradas_B!S70=Itens_B!$E70,Itens_B!$C70,0),IF(Itens_B!$D70="mitigacao",IF(Entradas_B!S70="Sim",-Itens_B!$C70,Itens_B!$C70),IF(Itens_B!$D70="evidencia",IF(Entradas_B!S70="Sim",-Itens_B!$C70,0),0))))</f>
        <v/>
      </c>
      <c r="S72">
        <f>IF(Entradas_B!T70="N/A",0,IF(Itens_B!$D70="risco",IF(Entradas_B!T70=Itens_B!$E70,Itens_B!$C70,0),IF(Itens_B!$D70="mitigacao",IF(Entradas_B!T70="Sim",-Itens_B!$C70,Itens_B!$C70),IF(Itens_B!$D70="evidencia",IF(Entradas_B!T70="Sim",-Itens_B!$C70,0),0))))</f>
        <v/>
      </c>
      <c r="T72">
        <f>IF(Entradas_B!U70="N/A",0,IF(Itens_B!$D70="risco",IF(Entradas_B!U70=Itens_B!$E70,Itens_B!$C70,0),IF(Itens_B!$D70="mitigacao",IF(Entradas_B!U70="Sim",-Itens_B!$C70,Itens_B!$C70),IF(Itens_B!$D70="evidencia",IF(Entradas_B!U70="Sim",-Itens_B!$C70,0),0))))</f>
        <v/>
      </c>
      <c r="U72">
        <f>IF(Entradas_B!V70="N/A",0,IF(Itens_B!$D70="risco",IF(Entradas_B!V70=Itens_B!$E70,Itens_B!$C70,0),IF(Itens_B!$D70="mitigacao",IF(Entradas_B!V70="Sim",-Itens_B!$C70,Itens_B!$C70),IF(Itens_B!$D70="evidencia",IF(Entradas_B!V70="Sim",-Itens_B!$C70,0),0))))</f>
        <v/>
      </c>
      <c r="V72">
        <f>IF(Entradas_B!W70="N/A",0,IF(Itens_B!$D70="risco",IF(Entradas_B!W70=Itens_B!$E70,Itens_B!$C70,0),IF(Itens_B!$D70="mitigacao",IF(Entradas_B!W70="Sim",-Itens_B!$C70,Itens_B!$C70),IF(Itens_B!$D70="evidencia",IF(Entradas_B!W70="Sim",-Itens_B!$C70,0),0))))</f>
        <v/>
      </c>
      <c r="W72">
        <f>IF(Entradas_B!X70="N/A",0,IF(Itens_B!$D70="risco",IF(Entradas_B!X70=Itens_B!$E70,Itens_B!$C70,0),IF(Itens_B!$D70="mitigacao",IF(Entradas_B!X70="Sim",-Itens_B!$C70,Itens_B!$C70),IF(Itens_B!$D70="evidencia",IF(Entradas_B!X70="Sim",-Itens_B!$C70,0),0))))</f>
        <v/>
      </c>
      <c r="X72">
        <f>IF(Entradas_B!Y70="N/A",0,IF(Itens_B!$D70="risco",IF(Entradas_B!Y70=Itens_B!$E70,Itens_B!$C70,0),IF(Itens_B!$D70="mitigacao",IF(Entradas_B!Y70="Sim",-Itens_B!$C70,Itens_B!$C70),IF(Itens_B!$D70="evidencia",IF(Entradas_B!Y70="Sim",-Itens_B!$C70,0),0))))</f>
        <v/>
      </c>
      <c r="Y72">
        <f>IF(Entradas_B!Z70="N/A",0,IF(Itens_B!$D70="risco",IF(Entradas_B!Z70=Itens_B!$E70,Itens_B!$C70,0),IF(Itens_B!$D70="mitigacao",IF(Entradas_B!Z70="Sim",-Itens_B!$C70,Itens_B!$C70),IF(Itens_B!$D70="evidencia",IF(Entradas_B!Z70="Sim",-Itens_B!$C70,0),0))))</f>
        <v/>
      </c>
      <c r="Z72">
        <f>IF(Entradas_B!AA70="N/A",0,IF(Itens_B!$D70="risco",IF(Entradas_B!AA70=Itens_B!$E70,Itens_B!$C70,0),IF(Itens_B!$D70="mitigacao",IF(Entradas_B!AA70="Sim",-Itens_B!$C70,Itens_B!$C70),IF(Itens_B!$D70="evidencia",IF(Entradas_B!AA70="Sim",-Itens_B!$C70,0),0))))</f>
        <v/>
      </c>
      <c r="AA72">
        <f>IF(Entradas_B!AB70="N/A",0,IF(Itens_B!$D70="risco",IF(Entradas_B!AB70=Itens_B!$E70,Itens_B!$C70,0),IF(Itens_B!$D70="mitigacao",IF(Entradas_B!AB70="Sim",-Itens_B!$C70,Itens_B!$C70),IF(Itens_B!$D70="evidencia",IF(Entradas_B!AB70="Sim",-Itens_B!$C70,0),0))))</f>
        <v/>
      </c>
      <c r="AB72">
        <f>IF(Entradas_B!AC70="N/A",0,IF(Itens_B!$D70="risco",IF(Entradas_B!AC70=Itens_B!$E70,Itens_B!$C70,0),IF(Itens_B!$D70="mitigacao",IF(Entradas_B!AC70="Sim",-Itens_B!$C70,Itens_B!$C70),IF(Itens_B!$D70="evidencia",IF(Entradas_B!AC70="Sim",-Itens_B!$C70,0),0))))</f>
        <v/>
      </c>
      <c r="AC72">
        <f>IF(Entradas_B!AD70="N/A",0,IF(Itens_B!$D70="risco",IF(Entradas_B!AD70=Itens_B!$E70,Itens_B!$C70,0),IF(Itens_B!$D70="mitigacao",IF(Entradas_B!AD70="Sim",-Itens_B!$C70,Itens_B!$C70),IF(Itens_B!$D70="evidencia",IF(Entradas_B!AD70="Sim",-Itens_B!$C70,0),0))))</f>
        <v/>
      </c>
      <c r="AD72">
        <f>IF(Entradas_B!AE70="N/A",0,IF(Itens_B!$D70="risco",IF(Entradas_B!AE70=Itens_B!$E70,Itens_B!$C70,0),IF(Itens_B!$D70="mitigacao",IF(Entradas_B!AE70="Sim",-Itens_B!$C70,Itens_B!$C70),IF(Itens_B!$D70="evidencia",IF(Entradas_B!AE70="Sim",-Itens_B!$C70,0),0))))</f>
        <v/>
      </c>
      <c r="AE72">
        <f>IF(Entradas_B!AF70="N/A",0,IF(Itens_B!$D70="risco",IF(Entradas_B!AF70=Itens_B!$E70,Itens_B!$C70,0),IF(Itens_B!$D70="mitigacao",IF(Entradas_B!AF70="Sim",-Itens_B!$C70,Itens_B!$C70),IF(Itens_B!$D70="evidencia",IF(Entradas_B!AF70="Sim",-Itens_B!$C70,0),0))))</f>
        <v/>
      </c>
      <c r="AF72">
        <f>IF(Entradas_B!AG70="N/A",0,IF(Itens_B!$D70="risco",IF(Entradas_B!AG70=Itens_B!$E70,Itens_B!$C70,0),IF(Itens_B!$D70="mitigacao",IF(Entradas_B!AG70="Sim",-Itens_B!$C70,Itens_B!$C70),IF(Itens_B!$D70="evidencia",IF(Entradas_B!AG70="Sim",-Itens_B!$C70,0),0))))</f>
        <v/>
      </c>
    </row>
    <row r="73">
      <c r="A73" t="inlineStr">
        <is>
          <t>P7.13</t>
        </is>
      </c>
      <c r="B73">
        <f>IF(Entradas_B!C71="N/A",0,IF(Itens_B!$D71="risco",IF(Entradas_B!C71=Itens_B!$E71,Itens_B!$C71,0),IF(Itens_B!$D71="mitigacao",IF(Entradas_B!C71="Sim",-Itens_B!$C71,Itens_B!$C71),IF(Itens_B!$D71="evidencia",IF(Entradas_B!C71="Sim",-Itens_B!$C71,0),0))))</f>
        <v/>
      </c>
      <c r="C73">
        <f>IF(Entradas_B!D71="N/A",0,IF(Itens_B!$D71="risco",IF(Entradas_B!D71=Itens_B!$E71,Itens_B!$C71,0),IF(Itens_B!$D71="mitigacao",IF(Entradas_B!D71="Sim",-Itens_B!$C71,Itens_B!$C71),IF(Itens_B!$D71="evidencia",IF(Entradas_B!D71="Sim",-Itens_B!$C71,0),0))))</f>
        <v/>
      </c>
      <c r="D73">
        <f>IF(Entradas_B!E71="N/A",0,IF(Itens_B!$D71="risco",IF(Entradas_B!E71=Itens_B!$E71,Itens_B!$C71,0),IF(Itens_B!$D71="mitigacao",IF(Entradas_B!E71="Sim",-Itens_B!$C71,Itens_B!$C71),IF(Itens_B!$D71="evidencia",IF(Entradas_B!E71="Sim",-Itens_B!$C71,0),0))))</f>
        <v/>
      </c>
      <c r="E73">
        <f>IF(Entradas_B!F71="N/A",0,IF(Itens_B!$D71="risco",IF(Entradas_B!F71=Itens_B!$E71,Itens_B!$C71,0),IF(Itens_B!$D71="mitigacao",IF(Entradas_B!F71="Sim",-Itens_B!$C71,Itens_B!$C71),IF(Itens_B!$D71="evidencia",IF(Entradas_B!F71="Sim",-Itens_B!$C71,0),0))))</f>
        <v/>
      </c>
      <c r="F73">
        <f>IF(Entradas_B!G71="N/A",0,IF(Itens_B!$D71="risco",IF(Entradas_B!G71=Itens_B!$E71,Itens_B!$C71,0),IF(Itens_B!$D71="mitigacao",IF(Entradas_B!G71="Sim",-Itens_B!$C71,Itens_B!$C71),IF(Itens_B!$D71="evidencia",IF(Entradas_B!G71="Sim",-Itens_B!$C71,0),0))))</f>
        <v/>
      </c>
      <c r="G73">
        <f>IF(Entradas_B!H71="N/A",0,IF(Itens_B!$D71="risco",IF(Entradas_B!H71=Itens_B!$E71,Itens_B!$C71,0),IF(Itens_B!$D71="mitigacao",IF(Entradas_B!H71="Sim",-Itens_B!$C71,Itens_B!$C71),IF(Itens_B!$D71="evidencia",IF(Entradas_B!H71="Sim",-Itens_B!$C71,0),0))))</f>
        <v/>
      </c>
      <c r="H73">
        <f>IF(Entradas_B!I71="N/A",0,IF(Itens_B!$D71="risco",IF(Entradas_B!I71=Itens_B!$E71,Itens_B!$C71,0),IF(Itens_B!$D71="mitigacao",IF(Entradas_B!I71="Sim",-Itens_B!$C71,Itens_B!$C71),IF(Itens_B!$D71="evidencia",IF(Entradas_B!I71="Sim",-Itens_B!$C71,0),0))))</f>
        <v/>
      </c>
      <c r="I73">
        <f>IF(Entradas_B!J71="N/A",0,IF(Itens_B!$D71="risco",IF(Entradas_B!J71=Itens_B!$E71,Itens_B!$C71,0),IF(Itens_B!$D71="mitigacao",IF(Entradas_B!J71="Sim",-Itens_B!$C71,Itens_B!$C71),IF(Itens_B!$D71="evidencia",IF(Entradas_B!J71="Sim",-Itens_B!$C71,0),0))))</f>
        <v/>
      </c>
      <c r="J73">
        <f>IF(Entradas_B!K71="N/A",0,IF(Itens_B!$D71="risco",IF(Entradas_B!K71=Itens_B!$E71,Itens_B!$C71,0),IF(Itens_B!$D71="mitigacao",IF(Entradas_B!K71="Sim",-Itens_B!$C71,Itens_B!$C71),IF(Itens_B!$D71="evidencia",IF(Entradas_B!K71="Sim",-Itens_B!$C71,0),0))))</f>
        <v/>
      </c>
      <c r="K73">
        <f>IF(Entradas_B!L71="N/A",0,IF(Itens_B!$D71="risco",IF(Entradas_B!L71=Itens_B!$E71,Itens_B!$C71,0),IF(Itens_B!$D71="mitigacao",IF(Entradas_B!L71="Sim",-Itens_B!$C71,Itens_B!$C71),IF(Itens_B!$D71="evidencia",IF(Entradas_B!L71="Sim",-Itens_B!$C71,0),0))))</f>
        <v/>
      </c>
      <c r="L73">
        <f>IF(Entradas_B!M71="N/A",0,IF(Itens_B!$D71="risco",IF(Entradas_B!M71=Itens_B!$E71,Itens_B!$C71,0),IF(Itens_B!$D71="mitigacao",IF(Entradas_B!M71="Sim",-Itens_B!$C71,Itens_B!$C71),IF(Itens_B!$D71="evidencia",IF(Entradas_B!M71="Sim",-Itens_B!$C71,0),0))))</f>
        <v/>
      </c>
      <c r="M73">
        <f>IF(Entradas_B!N71="N/A",0,IF(Itens_B!$D71="risco",IF(Entradas_B!N71=Itens_B!$E71,Itens_B!$C71,0),IF(Itens_B!$D71="mitigacao",IF(Entradas_B!N71="Sim",-Itens_B!$C71,Itens_B!$C71),IF(Itens_B!$D71="evidencia",IF(Entradas_B!N71="Sim",-Itens_B!$C71,0),0))))</f>
        <v/>
      </c>
      <c r="N73">
        <f>IF(Entradas_B!O71="N/A",0,IF(Itens_B!$D71="risco",IF(Entradas_B!O71=Itens_B!$E71,Itens_B!$C71,0),IF(Itens_B!$D71="mitigacao",IF(Entradas_B!O71="Sim",-Itens_B!$C71,Itens_B!$C71),IF(Itens_B!$D71="evidencia",IF(Entradas_B!O71="Sim",-Itens_B!$C71,0),0))))</f>
        <v/>
      </c>
      <c r="O73">
        <f>IF(Entradas_B!P71="N/A",0,IF(Itens_B!$D71="risco",IF(Entradas_B!P71=Itens_B!$E71,Itens_B!$C71,0),IF(Itens_B!$D71="mitigacao",IF(Entradas_B!P71="Sim",-Itens_B!$C71,Itens_B!$C71),IF(Itens_B!$D71="evidencia",IF(Entradas_B!P71="Sim",-Itens_B!$C71,0),0))))</f>
        <v/>
      </c>
      <c r="P73">
        <f>IF(Entradas_B!Q71="N/A",0,IF(Itens_B!$D71="risco",IF(Entradas_B!Q71=Itens_B!$E71,Itens_B!$C71,0),IF(Itens_B!$D71="mitigacao",IF(Entradas_B!Q71="Sim",-Itens_B!$C71,Itens_B!$C71),IF(Itens_B!$D71="evidencia",IF(Entradas_B!Q71="Sim",-Itens_B!$C71,0),0))))</f>
        <v/>
      </c>
      <c r="Q73">
        <f>IF(Entradas_B!R71="N/A",0,IF(Itens_B!$D71="risco",IF(Entradas_B!R71=Itens_B!$E71,Itens_B!$C71,0),IF(Itens_B!$D71="mitigacao",IF(Entradas_B!R71="Sim",-Itens_B!$C71,Itens_B!$C71),IF(Itens_B!$D71="evidencia",IF(Entradas_B!R71="Sim",-Itens_B!$C71,0),0))))</f>
        <v/>
      </c>
      <c r="R73">
        <f>IF(Entradas_B!S71="N/A",0,IF(Itens_B!$D71="risco",IF(Entradas_B!S71=Itens_B!$E71,Itens_B!$C71,0),IF(Itens_B!$D71="mitigacao",IF(Entradas_B!S71="Sim",-Itens_B!$C71,Itens_B!$C71),IF(Itens_B!$D71="evidencia",IF(Entradas_B!S71="Sim",-Itens_B!$C71,0),0))))</f>
        <v/>
      </c>
      <c r="S73">
        <f>IF(Entradas_B!T71="N/A",0,IF(Itens_B!$D71="risco",IF(Entradas_B!T71=Itens_B!$E71,Itens_B!$C71,0),IF(Itens_B!$D71="mitigacao",IF(Entradas_B!T71="Sim",-Itens_B!$C71,Itens_B!$C71),IF(Itens_B!$D71="evidencia",IF(Entradas_B!T71="Sim",-Itens_B!$C71,0),0))))</f>
        <v/>
      </c>
      <c r="T73">
        <f>IF(Entradas_B!U71="N/A",0,IF(Itens_B!$D71="risco",IF(Entradas_B!U71=Itens_B!$E71,Itens_B!$C71,0),IF(Itens_B!$D71="mitigacao",IF(Entradas_B!U71="Sim",-Itens_B!$C71,Itens_B!$C71),IF(Itens_B!$D71="evidencia",IF(Entradas_B!U71="Sim",-Itens_B!$C71,0),0))))</f>
        <v/>
      </c>
      <c r="U73">
        <f>IF(Entradas_B!V71="N/A",0,IF(Itens_B!$D71="risco",IF(Entradas_B!V71=Itens_B!$E71,Itens_B!$C71,0),IF(Itens_B!$D71="mitigacao",IF(Entradas_B!V71="Sim",-Itens_B!$C71,Itens_B!$C71),IF(Itens_B!$D71="evidencia",IF(Entradas_B!V71="Sim",-Itens_B!$C71,0),0))))</f>
        <v/>
      </c>
      <c r="V73">
        <f>IF(Entradas_B!W71="N/A",0,IF(Itens_B!$D71="risco",IF(Entradas_B!W71=Itens_B!$E71,Itens_B!$C71,0),IF(Itens_B!$D71="mitigacao",IF(Entradas_B!W71="Sim",-Itens_B!$C71,Itens_B!$C71),IF(Itens_B!$D71="evidencia",IF(Entradas_B!W71="Sim",-Itens_B!$C71,0),0))))</f>
        <v/>
      </c>
      <c r="W73">
        <f>IF(Entradas_B!X71="N/A",0,IF(Itens_B!$D71="risco",IF(Entradas_B!X71=Itens_B!$E71,Itens_B!$C71,0),IF(Itens_B!$D71="mitigacao",IF(Entradas_B!X71="Sim",-Itens_B!$C71,Itens_B!$C71),IF(Itens_B!$D71="evidencia",IF(Entradas_B!X71="Sim",-Itens_B!$C71,0),0))))</f>
        <v/>
      </c>
      <c r="X73">
        <f>IF(Entradas_B!Y71="N/A",0,IF(Itens_B!$D71="risco",IF(Entradas_B!Y71=Itens_B!$E71,Itens_B!$C71,0),IF(Itens_B!$D71="mitigacao",IF(Entradas_B!Y71="Sim",-Itens_B!$C71,Itens_B!$C71),IF(Itens_B!$D71="evidencia",IF(Entradas_B!Y71="Sim",-Itens_B!$C71,0),0))))</f>
        <v/>
      </c>
      <c r="Y73">
        <f>IF(Entradas_B!Z71="N/A",0,IF(Itens_B!$D71="risco",IF(Entradas_B!Z71=Itens_B!$E71,Itens_B!$C71,0),IF(Itens_B!$D71="mitigacao",IF(Entradas_B!Z71="Sim",-Itens_B!$C71,Itens_B!$C71),IF(Itens_B!$D71="evidencia",IF(Entradas_B!Z71="Sim",-Itens_B!$C71,0),0))))</f>
        <v/>
      </c>
      <c r="Z73">
        <f>IF(Entradas_B!AA71="N/A",0,IF(Itens_B!$D71="risco",IF(Entradas_B!AA71=Itens_B!$E71,Itens_B!$C71,0),IF(Itens_B!$D71="mitigacao",IF(Entradas_B!AA71="Sim",-Itens_B!$C71,Itens_B!$C71),IF(Itens_B!$D71="evidencia",IF(Entradas_B!AA71="Sim",-Itens_B!$C71,0),0))))</f>
        <v/>
      </c>
      <c r="AA73">
        <f>IF(Entradas_B!AB71="N/A",0,IF(Itens_B!$D71="risco",IF(Entradas_B!AB71=Itens_B!$E71,Itens_B!$C71,0),IF(Itens_B!$D71="mitigacao",IF(Entradas_B!AB71="Sim",-Itens_B!$C71,Itens_B!$C71),IF(Itens_B!$D71="evidencia",IF(Entradas_B!AB71="Sim",-Itens_B!$C71,0),0))))</f>
        <v/>
      </c>
      <c r="AB73">
        <f>IF(Entradas_B!AC71="N/A",0,IF(Itens_B!$D71="risco",IF(Entradas_B!AC71=Itens_B!$E71,Itens_B!$C71,0),IF(Itens_B!$D71="mitigacao",IF(Entradas_B!AC71="Sim",-Itens_B!$C71,Itens_B!$C71),IF(Itens_B!$D71="evidencia",IF(Entradas_B!AC71="Sim",-Itens_B!$C71,0),0))))</f>
        <v/>
      </c>
      <c r="AC73">
        <f>IF(Entradas_B!AD71="N/A",0,IF(Itens_B!$D71="risco",IF(Entradas_B!AD71=Itens_B!$E71,Itens_B!$C71,0),IF(Itens_B!$D71="mitigacao",IF(Entradas_B!AD71="Sim",-Itens_B!$C71,Itens_B!$C71),IF(Itens_B!$D71="evidencia",IF(Entradas_B!AD71="Sim",-Itens_B!$C71,0),0))))</f>
        <v/>
      </c>
      <c r="AD73">
        <f>IF(Entradas_B!AE71="N/A",0,IF(Itens_B!$D71="risco",IF(Entradas_B!AE71=Itens_B!$E71,Itens_B!$C71,0),IF(Itens_B!$D71="mitigacao",IF(Entradas_B!AE71="Sim",-Itens_B!$C71,Itens_B!$C71),IF(Itens_B!$D71="evidencia",IF(Entradas_B!AE71="Sim",-Itens_B!$C71,0),0))))</f>
        <v/>
      </c>
      <c r="AE73">
        <f>IF(Entradas_B!AF71="N/A",0,IF(Itens_B!$D71="risco",IF(Entradas_B!AF71=Itens_B!$E71,Itens_B!$C71,0),IF(Itens_B!$D71="mitigacao",IF(Entradas_B!AF71="Sim",-Itens_B!$C71,Itens_B!$C71),IF(Itens_B!$D71="evidencia",IF(Entradas_B!AF71="Sim",-Itens_B!$C71,0),0))))</f>
        <v/>
      </c>
      <c r="AF73">
        <f>IF(Entradas_B!AG71="N/A",0,IF(Itens_B!$D71="risco",IF(Entradas_B!AG71=Itens_B!$E71,Itens_B!$C71,0),IF(Itens_B!$D71="mitigacao",IF(Entradas_B!AG71="Sim",-Itens_B!$C71,Itens_B!$C71),IF(Itens_B!$D71="evidencia",IF(Entradas_B!AG71="Sim",-Itens_B!$C71,0),0))))</f>
        <v/>
      </c>
    </row>
    <row r="74">
      <c r="A74" t="inlineStr">
        <is>
          <t>P7.14</t>
        </is>
      </c>
      <c r="B74">
        <f>IF(Entradas_B!C72="N/A",0,IF(Itens_B!$D72="risco",IF(Entradas_B!C72=Itens_B!$E72,Itens_B!$C72,0),IF(Itens_B!$D72="mitigacao",IF(Entradas_B!C72="Sim",-Itens_B!$C72,Itens_B!$C72),IF(Itens_B!$D72="evidencia",IF(Entradas_B!C72="Sim",-Itens_B!$C72,0),0))))</f>
        <v/>
      </c>
      <c r="C74">
        <f>IF(Entradas_B!D72="N/A",0,IF(Itens_B!$D72="risco",IF(Entradas_B!D72=Itens_B!$E72,Itens_B!$C72,0),IF(Itens_B!$D72="mitigacao",IF(Entradas_B!D72="Sim",-Itens_B!$C72,Itens_B!$C72),IF(Itens_B!$D72="evidencia",IF(Entradas_B!D72="Sim",-Itens_B!$C72,0),0))))</f>
        <v/>
      </c>
      <c r="D74">
        <f>IF(Entradas_B!E72="N/A",0,IF(Itens_B!$D72="risco",IF(Entradas_B!E72=Itens_B!$E72,Itens_B!$C72,0),IF(Itens_B!$D72="mitigacao",IF(Entradas_B!E72="Sim",-Itens_B!$C72,Itens_B!$C72),IF(Itens_B!$D72="evidencia",IF(Entradas_B!E72="Sim",-Itens_B!$C72,0),0))))</f>
        <v/>
      </c>
      <c r="E74">
        <f>IF(Entradas_B!F72="N/A",0,IF(Itens_B!$D72="risco",IF(Entradas_B!F72=Itens_B!$E72,Itens_B!$C72,0),IF(Itens_B!$D72="mitigacao",IF(Entradas_B!F72="Sim",-Itens_B!$C72,Itens_B!$C72),IF(Itens_B!$D72="evidencia",IF(Entradas_B!F72="Sim",-Itens_B!$C72,0),0))))</f>
        <v/>
      </c>
      <c r="F74">
        <f>IF(Entradas_B!G72="N/A",0,IF(Itens_B!$D72="risco",IF(Entradas_B!G72=Itens_B!$E72,Itens_B!$C72,0),IF(Itens_B!$D72="mitigacao",IF(Entradas_B!G72="Sim",-Itens_B!$C72,Itens_B!$C72),IF(Itens_B!$D72="evidencia",IF(Entradas_B!G72="Sim",-Itens_B!$C72,0),0))))</f>
        <v/>
      </c>
      <c r="G74">
        <f>IF(Entradas_B!H72="N/A",0,IF(Itens_B!$D72="risco",IF(Entradas_B!H72=Itens_B!$E72,Itens_B!$C72,0),IF(Itens_B!$D72="mitigacao",IF(Entradas_B!H72="Sim",-Itens_B!$C72,Itens_B!$C72),IF(Itens_B!$D72="evidencia",IF(Entradas_B!H72="Sim",-Itens_B!$C72,0),0))))</f>
        <v/>
      </c>
      <c r="H74">
        <f>IF(Entradas_B!I72="N/A",0,IF(Itens_B!$D72="risco",IF(Entradas_B!I72=Itens_B!$E72,Itens_B!$C72,0),IF(Itens_B!$D72="mitigacao",IF(Entradas_B!I72="Sim",-Itens_B!$C72,Itens_B!$C72),IF(Itens_B!$D72="evidencia",IF(Entradas_B!I72="Sim",-Itens_B!$C72,0),0))))</f>
        <v/>
      </c>
      <c r="I74">
        <f>IF(Entradas_B!J72="N/A",0,IF(Itens_B!$D72="risco",IF(Entradas_B!J72=Itens_B!$E72,Itens_B!$C72,0),IF(Itens_B!$D72="mitigacao",IF(Entradas_B!J72="Sim",-Itens_B!$C72,Itens_B!$C72),IF(Itens_B!$D72="evidencia",IF(Entradas_B!J72="Sim",-Itens_B!$C72,0),0))))</f>
        <v/>
      </c>
      <c r="J74">
        <f>IF(Entradas_B!K72="N/A",0,IF(Itens_B!$D72="risco",IF(Entradas_B!K72=Itens_B!$E72,Itens_B!$C72,0),IF(Itens_B!$D72="mitigacao",IF(Entradas_B!K72="Sim",-Itens_B!$C72,Itens_B!$C72),IF(Itens_B!$D72="evidencia",IF(Entradas_B!K72="Sim",-Itens_B!$C72,0),0))))</f>
        <v/>
      </c>
      <c r="K74">
        <f>IF(Entradas_B!L72="N/A",0,IF(Itens_B!$D72="risco",IF(Entradas_B!L72=Itens_B!$E72,Itens_B!$C72,0),IF(Itens_B!$D72="mitigacao",IF(Entradas_B!L72="Sim",-Itens_B!$C72,Itens_B!$C72),IF(Itens_B!$D72="evidencia",IF(Entradas_B!L72="Sim",-Itens_B!$C72,0),0))))</f>
        <v/>
      </c>
      <c r="L74">
        <f>IF(Entradas_B!M72="N/A",0,IF(Itens_B!$D72="risco",IF(Entradas_B!M72=Itens_B!$E72,Itens_B!$C72,0),IF(Itens_B!$D72="mitigacao",IF(Entradas_B!M72="Sim",-Itens_B!$C72,Itens_B!$C72),IF(Itens_B!$D72="evidencia",IF(Entradas_B!M72="Sim",-Itens_B!$C72,0),0))))</f>
        <v/>
      </c>
      <c r="M74">
        <f>IF(Entradas_B!N72="N/A",0,IF(Itens_B!$D72="risco",IF(Entradas_B!N72=Itens_B!$E72,Itens_B!$C72,0),IF(Itens_B!$D72="mitigacao",IF(Entradas_B!N72="Sim",-Itens_B!$C72,Itens_B!$C72),IF(Itens_B!$D72="evidencia",IF(Entradas_B!N72="Sim",-Itens_B!$C72,0),0))))</f>
        <v/>
      </c>
      <c r="N74">
        <f>IF(Entradas_B!O72="N/A",0,IF(Itens_B!$D72="risco",IF(Entradas_B!O72=Itens_B!$E72,Itens_B!$C72,0),IF(Itens_B!$D72="mitigacao",IF(Entradas_B!O72="Sim",-Itens_B!$C72,Itens_B!$C72),IF(Itens_B!$D72="evidencia",IF(Entradas_B!O72="Sim",-Itens_B!$C72,0),0))))</f>
        <v/>
      </c>
      <c r="O74">
        <f>IF(Entradas_B!P72="N/A",0,IF(Itens_B!$D72="risco",IF(Entradas_B!P72=Itens_B!$E72,Itens_B!$C72,0),IF(Itens_B!$D72="mitigacao",IF(Entradas_B!P72="Sim",-Itens_B!$C72,Itens_B!$C72),IF(Itens_B!$D72="evidencia",IF(Entradas_B!P72="Sim",-Itens_B!$C72,0),0))))</f>
        <v/>
      </c>
      <c r="P74">
        <f>IF(Entradas_B!Q72="N/A",0,IF(Itens_B!$D72="risco",IF(Entradas_B!Q72=Itens_B!$E72,Itens_B!$C72,0),IF(Itens_B!$D72="mitigacao",IF(Entradas_B!Q72="Sim",-Itens_B!$C72,Itens_B!$C72),IF(Itens_B!$D72="evidencia",IF(Entradas_B!Q72="Sim",-Itens_B!$C72,0),0))))</f>
        <v/>
      </c>
      <c r="Q74">
        <f>IF(Entradas_B!R72="N/A",0,IF(Itens_B!$D72="risco",IF(Entradas_B!R72=Itens_B!$E72,Itens_B!$C72,0),IF(Itens_B!$D72="mitigacao",IF(Entradas_B!R72="Sim",-Itens_B!$C72,Itens_B!$C72),IF(Itens_B!$D72="evidencia",IF(Entradas_B!R72="Sim",-Itens_B!$C72,0),0))))</f>
        <v/>
      </c>
      <c r="R74">
        <f>IF(Entradas_B!S72="N/A",0,IF(Itens_B!$D72="risco",IF(Entradas_B!S72=Itens_B!$E72,Itens_B!$C72,0),IF(Itens_B!$D72="mitigacao",IF(Entradas_B!S72="Sim",-Itens_B!$C72,Itens_B!$C72),IF(Itens_B!$D72="evidencia",IF(Entradas_B!S72="Sim",-Itens_B!$C72,0),0))))</f>
        <v/>
      </c>
      <c r="S74">
        <f>IF(Entradas_B!T72="N/A",0,IF(Itens_B!$D72="risco",IF(Entradas_B!T72=Itens_B!$E72,Itens_B!$C72,0),IF(Itens_B!$D72="mitigacao",IF(Entradas_B!T72="Sim",-Itens_B!$C72,Itens_B!$C72),IF(Itens_B!$D72="evidencia",IF(Entradas_B!T72="Sim",-Itens_B!$C72,0),0))))</f>
        <v/>
      </c>
      <c r="T74">
        <f>IF(Entradas_B!U72="N/A",0,IF(Itens_B!$D72="risco",IF(Entradas_B!U72=Itens_B!$E72,Itens_B!$C72,0),IF(Itens_B!$D72="mitigacao",IF(Entradas_B!U72="Sim",-Itens_B!$C72,Itens_B!$C72),IF(Itens_B!$D72="evidencia",IF(Entradas_B!U72="Sim",-Itens_B!$C72,0),0))))</f>
        <v/>
      </c>
      <c r="U74">
        <f>IF(Entradas_B!V72="N/A",0,IF(Itens_B!$D72="risco",IF(Entradas_B!V72=Itens_B!$E72,Itens_B!$C72,0),IF(Itens_B!$D72="mitigacao",IF(Entradas_B!V72="Sim",-Itens_B!$C72,Itens_B!$C72),IF(Itens_B!$D72="evidencia",IF(Entradas_B!V72="Sim",-Itens_B!$C72,0),0))))</f>
        <v/>
      </c>
      <c r="V74">
        <f>IF(Entradas_B!W72="N/A",0,IF(Itens_B!$D72="risco",IF(Entradas_B!W72=Itens_B!$E72,Itens_B!$C72,0),IF(Itens_B!$D72="mitigacao",IF(Entradas_B!W72="Sim",-Itens_B!$C72,Itens_B!$C72),IF(Itens_B!$D72="evidencia",IF(Entradas_B!W72="Sim",-Itens_B!$C72,0),0))))</f>
        <v/>
      </c>
      <c r="W74">
        <f>IF(Entradas_B!X72="N/A",0,IF(Itens_B!$D72="risco",IF(Entradas_B!X72=Itens_B!$E72,Itens_B!$C72,0),IF(Itens_B!$D72="mitigacao",IF(Entradas_B!X72="Sim",-Itens_B!$C72,Itens_B!$C72),IF(Itens_B!$D72="evidencia",IF(Entradas_B!X72="Sim",-Itens_B!$C72,0),0))))</f>
        <v/>
      </c>
      <c r="X74">
        <f>IF(Entradas_B!Y72="N/A",0,IF(Itens_B!$D72="risco",IF(Entradas_B!Y72=Itens_B!$E72,Itens_B!$C72,0),IF(Itens_B!$D72="mitigacao",IF(Entradas_B!Y72="Sim",-Itens_B!$C72,Itens_B!$C72),IF(Itens_B!$D72="evidencia",IF(Entradas_B!Y72="Sim",-Itens_B!$C72,0),0))))</f>
        <v/>
      </c>
      <c r="Y74">
        <f>IF(Entradas_B!Z72="N/A",0,IF(Itens_B!$D72="risco",IF(Entradas_B!Z72=Itens_B!$E72,Itens_B!$C72,0),IF(Itens_B!$D72="mitigacao",IF(Entradas_B!Z72="Sim",-Itens_B!$C72,Itens_B!$C72),IF(Itens_B!$D72="evidencia",IF(Entradas_B!Z72="Sim",-Itens_B!$C72,0),0))))</f>
        <v/>
      </c>
      <c r="Z74">
        <f>IF(Entradas_B!AA72="N/A",0,IF(Itens_B!$D72="risco",IF(Entradas_B!AA72=Itens_B!$E72,Itens_B!$C72,0),IF(Itens_B!$D72="mitigacao",IF(Entradas_B!AA72="Sim",-Itens_B!$C72,Itens_B!$C72),IF(Itens_B!$D72="evidencia",IF(Entradas_B!AA72="Sim",-Itens_B!$C72,0),0))))</f>
        <v/>
      </c>
      <c r="AA74">
        <f>IF(Entradas_B!AB72="N/A",0,IF(Itens_B!$D72="risco",IF(Entradas_B!AB72=Itens_B!$E72,Itens_B!$C72,0),IF(Itens_B!$D72="mitigacao",IF(Entradas_B!AB72="Sim",-Itens_B!$C72,Itens_B!$C72),IF(Itens_B!$D72="evidencia",IF(Entradas_B!AB72="Sim",-Itens_B!$C72,0),0))))</f>
        <v/>
      </c>
      <c r="AB74">
        <f>IF(Entradas_B!AC72="N/A",0,IF(Itens_B!$D72="risco",IF(Entradas_B!AC72=Itens_B!$E72,Itens_B!$C72,0),IF(Itens_B!$D72="mitigacao",IF(Entradas_B!AC72="Sim",-Itens_B!$C72,Itens_B!$C72),IF(Itens_B!$D72="evidencia",IF(Entradas_B!AC72="Sim",-Itens_B!$C72,0),0))))</f>
        <v/>
      </c>
      <c r="AC74">
        <f>IF(Entradas_B!AD72="N/A",0,IF(Itens_B!$D72="risco",IF(Entradas_B!AD72=Itens_B!$E72,Itens_B!$C72,0),IF(Itens_B!$D72="mitigacao",IF(Entradas_B!AD72="Sim",-Itens_B!$C72,Itens_B!$C72),IF(Itens_B!$D72="evidencia",IF(Entradas_B!AD72="Sim",-Itens_B!$C72,0),0))))</f>
        <v/>
      </c>
      <c r="AD74">
        <f>IF(Entradas_B!AE72="N/A",0,IF(Itens_B!$D72="risco",IF(Entradas_B!AE72=Itens_B!$E72,Itens_B!$C72,0),IF(Itens_B!$D72="mitigacao",IF(Entradas_B!AE72="Sim",-Itens_B!$C72,Itens_B!$C72),IF(Itens_B!$D72="evidencia",IF(Entradas_B!AE72="Sim",-Itens_B!$C72,0),0))))</f>
        <v/>
      </c>
      <c r="AE74">
        <f>IF(Entradas_B!AF72="N/A",0,IF(Itens_B!$D72="risco",IF(Entradas_B!AF72=Itens_B!$E72,Itens_B!$C72,0),IF(Itens_B!$D72="mitigacao",IF(Entradas_B!AF72="Sim",-Itens_B!$C72,Itens_B!$C72),IF(Itens_B!$D72="evidencia",IF(Entradas_B!AF72="Sim",-Itens_B!$C72,0),0))))</f>
        <v/>
      </c>
      <c r="AF74">
        <f>IF(Entradas_B!AG72="N/A",0,IF(Itens_B!$D72="risco",IF(Entradas_B!AG72=Itens_B!$E72,Itens_B!$C72,0),IF(Itens_B!$D72="mitigacao",IF(Entradas_B!AG72="Sim",-Itens_B!$C72,Itens_B!$C72),IF(Itens_B!$D72="evidencia",IF(Entradas_B!AG72="Sim",-Itens_B!$C72,0),0))))</f>
        <v/>
      </c>
    </row>
    <row r="75">
      <c r="A75" t="inlineStr">
        <is>
          <t>Subtotal Bloco 1</t>
        </is>
      </c>
      <c r="B75">
        <f>SUMIF(Itens_B!$B$2:$B$72,"1",B$4:B$74)</f>
        <v/>
      </c>
      <c r="C75">
        <f>SUMIF(Itens_B!$B$2:$B$72,"1",C$4:C$74)</f>
        <v/>
      </c>
      <c r="D75">
        <f>SUMIF(Itens_B!$B$2:$B$72,"1",D$4:D$74)</f>
        <v/>
      </c>
      <c r="E75">
        <f>SUMIF(Itens_B!$B$2:$B$72,"1",E$4:E$74)</f>
        <v/>
      </c>
      <c r="F75">
        <f>SUMIF(Itens_B!$B$2:$B$72,"1",F$4:F$74)</f>
        <v/>
      </c>
      <c r="G75">
        <f>SUMIF(Itens_B!$B$2:$B$72,"1",G$4:G$74)</f>
        <v/>
      </c>
      <c r="H75">
        <f>SUMIF(Itens_B!$B$2:$B$72,"1",H$4:H$74)</f>
        <v/>
      </c>
      <c r="I75">
        <f>SUMIF(Itens_B!$B$2:$B$72,"1",I$4:I$74)</f>
        <v/>
      </c>
      <c r="J75">
        <f>SUMIF(Itens_B!$B$2:$B$72,"1",J$4:J$74)</f>
        <v/>
      </c>
      <c r="K75">
        <f>SUMIF(Itens_B!$B$2:$B$72,"1",K$4:K$74)</f>
        <v/>
      </c>
      <c r="L75">
        <f>SUMIF(Itens_B!$B$2:$B$72,"1",L$4:L$74)</f>
        <v/>
      </c>
      <c r="M75">
        <f>SUMIF(Itens_B!$B$2:$B$72,"1",M$4:M$74)</f>
        <v/>
      </c>
      <c r="N75">
        <f>SUMIF(Itens_B!$B$2:$B$72,"1",N$4:N$74)</f>
        <v/>
      </c>
      <c r="O75">
        <f>SUMIF(Itens_B!$B$2:$B$72,"1",O$4:O$74)</f>
        <v/>
      </c>
      <c r="P75">
        <f>SUMIF(Itens_B!$B$2:$B$72,"1",P$4:P$74)</f>
        <v/>
      </c>
      <c r="Q75">
        <f>SUMIF(Itens_B!$B$2:$B$72,"1",Q$4:Q$74)</f>
        <v/>
      </c>
      <c r="R75">
        <f>SUMIF(Itens_B!$B$2:$B$72,"1",R$4:R$74)</f>
        <v/>
      </c>
      <c r="S75">
        <f>SUMIF(Itens_B!$B$2:$B$72,"1",S$4:S$74)</f>
        <v/>
      </c>
      <c r="T75">
        <f>SUMIF(Itens_B!$B$2:$B$72,"1",T$4:T$74)</f>
        <v/>
      </c>
      <c r="U75">
        <f>SUMIF(Itens_B!$B$2:$B$72,"1",U$4:U$74)</f>
        <v/>
      </c>
      <c r="V75">
        <f>SUMIF(Itens_B!$B$2:$B$72,"1",V$4:V$74)</f>
        <v/>
      </c>
      <c r="W75">
        <f>SUMIF(Itens_B!$B$2:$B$72,"1",W$4:W$74)</f>
        <v/>
      </c>
      <c r="X75">
        <f>SUMIF(Itens_B!$B$2:$B$72,"1",X$4:X$74)</f>
        <v/>
      </c>
      <c r="Y75">
        <f>SUMIF(Itens_B!$B$2:$B$72,"1",Y$4:Y$74)</f>
        <v/>
      </c>
      <c r="Z75">
        <f>SUMIF(Itens_B!$B$2:$B$72,"1",Z$4:Z$74)</f>
        <v/>
      </c>
      <c r="AA75">
        <f>SUMIF(Itens_B!$B$2:$B$72,"1",AA$4:AA$74)</f>
        <v/>
      </c>
      <c r="AB75">
        <f>SUMIF(Itens_B!$B$2:$B$72,"1",AB$4:AB$74)</f>
        <v/>
      </c>
      <c r="AC75">
        <f>SUMIF(Itens_B!$B$2:$B$72,"1",AC$4:AC$74)</f>
        <v/>
      </c>
      <c r="AD75">
        <f>SUMIF(Itens_B!$B$2:$B$72,"1",AD$4:AD$74)</f>
        <v/>
      </c>
      <c r="AE75">
        <f>SUMIF(Itens_B!$B$2:$B$72,"1",AE$4:AE$74)</f>
        <v/>
      </c>
      <c r="AF75">
        <f>SUMIF(Itens_B!$B$2:$B$72,"1",AF$4:AF$74)</f>
        <v/>
      </c>
    </row>
    <row r="76">
      <c r="A76" t="inlineStr">
        <is>
          <t>Subtotal Bloco 2</t>
        </is>
      </c>
      <c r="B76">
        <f>SUMIF(Itens_B!$B$2:$B$72,"2",B$4:B$74)</f>
        <v/>
      </c>
      <c r="C76">
        <f>SUMIF(Itens_B!$B$2:$B$72,"2",C$4:C$74)</f>
        <v/>
      </c>
      <c r="D76">
        <f>SUMIF(Itens_B!$B$2:$B$72,"2",D$4:D$74)</f>
        <v/>
      </c>
      <c r="E76">
        <f>SUMIF(Itens_B!$B$2:$B$72,"2",E$4:E$74)</f>
        <v/>
      </c>
      <c r="F76">
        <f>SUMIF(Itens_B!$B$2:$B$72,"2",F$4:F$74)</f>
        <v/>
      </c>
      <c r="G76">
        <f>SUMIF(Itens_B!$B$2:$B$72,"2",G$4:G$74)</f>
        <v/>
      </c>
      <c r="H76">
        <f>SUMIF(Itens_B!$B$2:$B$72,"2",H$4:H$74)</f>
        <v/>
      </c>
      <c r="I76">
        <f>SUMIF(Itens_B!$B$2:$B$72,"2",I$4:I$74)</f>
        <v/>
      </c>
      <c r="J76">
        <f>SUMIF(Itens_B!$B$2:$B$72,"2",J$4:J$74)</f>
        <v/>
      </c>
      <c r="K76">
        <f>SUMIF(Itens_B!$B$2:$B$72,"2",K$4:K$74)</f>
        <v/>
      </c>
      <c r="L76">
        <f>SUMIF(Itens_B!$B$2:$B$72,"2",L$4:L$74)</f>
        <v/>
      </c>
      <c r="M76">
        <f>SUMIF(Itens_B!$B$2:$B$72,"2",M$4:M$74)</f>
        <v/>
      </c>
      <c r="N76">
        <f>SUMIF(Itens_B!$B$2:$B$72,"2",N$4:N$74)</f>
        <v/>
      </c>
      <c r="O76">
        <f>SUMIF(Itens_B!$B$2:$B$72,"2",O$4:O$74)</f>
        <v/>
      </c>
      <c r="P76">
        <f>SUMIF(Itens_B!$B$2:$B$72,"2",P$4:P$74)</f>
        <v/>
      </c>
      <c r="Q76">
        <f>SUMIF(Itens_B!$B$2:$B$72,"2",Q$4:Q$74)</f>
        <v/>
      </c>
      <c r="R76">
        <f>SUMIF(Itens_B!$B$2:$B$72,"2",R$4:R$74)</f>
        <v/>
      </c>
      <c r="S76">
        <f>SUMIF(Itens_B!$B$2:$B$72,"2",S$4:S$74)</f>
        <v/>
      </c>
      <c r="T76">
        <f>SUMIF(Itens_B!$B$2:$B$72,"2",T$4:T$74)</f>
        <v/>
      </c>
      <c r="U76">
        <f>SUMIF(Itens_B!$B$2:$B$72,"2",U$4:U$74)</f>
        <v/>
      </c>
      <c r="V76">
        <f>SUMIF(Itens_B!$B$2:$B$72,"2",V$4:V$74)</f>
        <v/>
      </c>
      <c r="W76">
        <f>SUMIF(Itens_B!$B$2:$B$72,"2",W$4:W$74)</f>
        <v/>
      </c>
      <c r="X76">
        <f>SUMIF(Itens_B!$B$2:$B$72,"2",X$4:X$74)</f>
        <v/>
      </c>
      <c r="Y76">
        <f>SUMIF(Itens_B!$B$2:$B$72,"2",Y$4:Y$74)</f>
        <v/>
      </c>
      <c r="Z76">
        <f>SUMIF(Itens_B!$B$2:$B$72,"2",Z$4:Z$74)</f>
        <v/>
      </c>
      <c r="AA76">
        <f>SUMIF(Itens_B!$B$2:$B$72,"2",AA$4:AA$74)</f>
        <v/>
      </c>
      <c r="AB76">
        <f>SUMIF(Itens_B!$B$2:$B$72,"2",AB$4:AB$74)</f>
        <v/>
      </c>
      <c r="AC76">
        <f>SUMIF(Itens_B!$B$2:$B$72,"2",AC$4:AC$74)</f>
        <v/>
      </c>
      <c r="AD76">
        <f>SUMIF(Itens_B!$B$2:$B$72,"2",AD$4:AD$74)</f>
        <v/>
      </c>
      <c r="AE76">
        <f>SUMIF(Itens_B!$B$2:$B$72,"2",AE$4:AE$74)</f>
        <v/>
      </c>
      <c r="AF76">
        <f>SUMIF(Itens_B!$B$2:$B$72,"2",AF$4:AF$74)</f>
        <v/>
      </c>
    </row>
    <row r="77">
      <c r="A77" t="inlineStr">
        <is>
          <t>Subtotal Bloco 3</t>
        </is>
      </c>
      <c r="B77">
        <f>SUMIF(Itens_B!$B$2:$B$72,"3",B$4:B$74)</f>
        <v/>
      </c>
      <c r="C77">
        <f>SUMIF(Itens_B!$B$2:$B$72,"3",C$4:C$74)</f>
        <v/>
      </c>
      <c r="D77">
        <f>SUMIF(Itens_B!$B$2:$B$72,"3",D$4:D$74)</f>
        <v/>
      </c>
      <c r="E77">
        <f>SUMIF(Itens_B!$B$2:$B$72,"3",E$4:E$74)</f>
        <v/>
      </c>
      <c r="F77">
        <f>SUMIF(Itens_B!$B$2:$B$72,"3",F$4:F$74)</f>
        <v/>
      </c>
      <c r="G77">
        <f>SUMIF(Itens_B!$B$2:$B$72,"3",G$4:G$74)</f>
        <v/>
      </c>
      <c r="H77">
        <f>SUMIF(Itens_B!$B$2:$B$72,"3",H$4:H$74)</f>
        <v/>
      </c>
      <c r="I77">
        <f>SUMIF(Itens_B!$B$2:$B$72,"3",I$4:I$74)</f>
        <v/>
      </c>
      <c r="J77">
        <f>SUMIF(Itens_B!$B$2:$B$72,"3",J$4:J$74)</f>
        <v/>
      </c>
      <c r="K77">
        <f>SUMIF(Itens_B!$B$2:$B$72,"3",K$4:K$74)</f>
        <v/>
      </c>
      <c r="L77">
        <f>SUMIF(Itens_B!$B$2:$B$72,"3",L$4:L$74)</f>
        <v/>
      </c>
      <c r="M77">
        <f>SUMIF(Itens_B!$B$2:$B$72,"3",M$4:M$74)</f>
        <v/>
      </c>
      <c r="N77">
        <f>SUMIF(Itens_B!$B$2:$B$72,"3",N$4:N$74)</f>
        <v/>
      </c>
      <c r="O77">
        <f>SUMIF(Itens_B!$B$2:$B$72,"3",O$4:O$74)</f>
        <v/>
      </c>
      <c r="P77">
        <f>SUMIF(Itens_B!$B$2:$B$72,"3",P$4:P$74)</f>
        <v/>
      </c>
      <c r="Q77">
        <f>SUMIF(Itens_B!$B$2:$B$72,"3",Q$4:Q$74)</f>
        <v/>
      </c>
      <c r="R77">
        <f>SUMIF(Itens_B!$B$2:$B$72,"3",R$4:R$74)</f>
        <v/>
      </c>
      <c r="S77">
        <f>SUMIF(Itens_B!$B$2:$B$72,"3",S$4:S$74)</f>
        <v/>
      </c>
      <c r="T77">
        <f>SUMIF(Itens_B!$B$2:$B$72,"3",T$4:T$74)</f>
        <v/>
      </c>
      <c r="U77">
        <f>SUMIF(Itens_B!$B$2:$B$72,"3",U$4:U$74)</f>
        <v/>
      </c>
      <c r="V77">
        <f>SUMIF(Itens_B!$B$2:$B$72,"3",V$4:V$74)</f>
        <v/>
      </c>
      <c r="W77">
        <f>SUMIF(Itens_B!$B$2:$B$72,"3",W$4:W$74)</f>
        <v/>
      </c>
      <c r="X77">
        <f>SUMIF(Itens_B!$B$2:$B$72,"3",X$4:X$74)</f>
        <v/>
      </c>
      <c r="Y77">
        <f>SUMIF(Itens_B!$B$2:$B$72,"3",Y$4:Y$74)</f>
        <v/>
      </c>
      <c r="Z77">
        <f>SUMIF(Itens_B!$B$2:$B$72,"3",Z$4:Z$74)</f>
        <v/>
      </c>
      <c r="AA77">
        <f>SUMIF(Itens_B!$B$2:$B$72,"3",AA$4:AA$74)</f>
        <v/>
      </c>
      <c r="AB77">
        <f>SUMIF(Itens_B!$B$2:$B$72,"3",AB$4:AB$74)</f>
        <v/>
      </c>
      <c r="AC77">
        <f>SUMIF(Itens_B!$B$2:$B$72,"3",AC$4:AC$74)</f>
        <v/>
      </c>
      <c r="AD77">
        <f>SUMIF(Itens_B!$B$2:$B$72,"3",AD$4:AD$74)</f>
        <v/>
      </c>
      <c r="AE77">
        <f>SUMIF(Itens_B!$B$2:$B$72,"3",AE$4:AE$74)</f>
        <v/>
      </c>
      <c r="AF77">
        <f>SUMIF(Itens_B!$B$2:$B$72,"3",AF$4:AF$74)</f>
        <v/>
      </c>
    </row>
    <row r="78">
      <c r="A78" t="inlineStr">
        <is>
          <t>Subtotal Bloco 4</t>
        </is>
      </c>
      <c r="B78">
        <f>SUMIF(Itens_B!$B$2:$B$72,"4",B$4:B$74)</f>
        <v/>
      </c>
      <c r="C78">
        <f>SUMIF(Itens_B!$B$2:$B$72,"4",C$4:C$74)</f>
        <v/>
      </c>
      <c r="D78">
        <f>SUMIF(Itens_B!$B$2:$B$72,"4",D$4:D$74)</f>
        <v/>
      </c>
      <c r="E78">
        <f>SUMIF(Itens_B!$B$2:$B$72,"4",E$4:E$74)</f>
        <v/>
      </c>
      <c r="F78">
        <f>SUMIF(Itens_B!$B$2:$B$72,"4",F$4:F$74)</f>
        <v/>
      </c>
      <c r="G78">
        <f>SUMIF(Itens_B!$B$2:$B$72,"4",G$4:G$74)</f>
        <v/>
      </c>
      <c r="H78">
        <f>SUMIF(Itens_B!$B$2:$B$72,"4",H$4:H$74)</f>
        <v/>
      </c>
      <c r="I78">
        <f>SUMIF(Itens_B!$B$2:$B$72,"4",I$4:I$74)</f>
        <v/>
      </c>
      <c r="J78">
        <f>SUMIF(Itens_B!$B$2:$B$72,"4",J$4:J$74)</f>
        <v/>
      </c>
      <c r="K78">
        <f>SUMIF(Itens_B!$B$2:$B$72,"4",K$4:K$74)</f>
        <v/>
      </c>
      <c r="L78">
        <f>SUMIF(Itens_B!$B$2:$B$72,"4",L$4:L$74)</f>
        <v/>
      </c>
      <c r="M78">
        <f>SUMIF(Itens_B!$B$2:$B$72,"4",M$4:M$74)</f>
        <v/>
      </c>
      <c r="N78">
        <f>SUMIF(Itens_B!$B$2:$B$72,"4",N$4:N$74)</f>
        <v/>
      </c>
      <c r="O78">
        <f>SUMIF(Itens_B!$B$2:$B$72,"4",O$4:O$74)</f>
        <v/>
      </c>
      <c r="P78">
        <f>SUMIF(Itens_B!$B$2:$B$72,"4",P$4:P$74)</f>
        <v/>
      </c>
      <c r="Q78">
        <f>SUMIF(Itens_B!$B$2:$B$72,"4",Q$4:Q$74)</f>
        <v/>
      </c>
      <c r="R78">
        <f>SUMIF(Itens_B!$B$2:$B$72,"4",R$4:R$74)</f>
        <v/>
      </c>
      <c r="S78">
        <f>SUMIF(Itens_B!$B$2:$B$72,"4",S$4:S$74)</f>
        <v/>
      </c>
      <c r="T78">
        <f>SUMIF(Itens_B!$B$2:$B$72,"4",T$4:T$74)</f>
        <v/>
      </c>
      <c r="U78">
        <f>SUMIF(Itens_B!$B$2:$B$72,"4",U$4:U$74)</f>
        <v/>
      </c>
      <c r="V78">
        <f>SUMIF(Itens_B!$B$2:$B$72,"4",V$4:V$74)</f>
        <v/>
      </c>
      <c r="W78">
        <f>SUMIF(Itens_B!$B$2:$B$72,"4",W$4:W$74)</f>
        <v/>
      </c>
      <c r="X78">
        <f>SUMIF(Itens_B!$B$2:$B$72,"4",X$4:X$74)</f>
        <v/>
      </c>
      <c r="Y78">
        <f>SUMIF(Itens_B!$B$2:$B$72,"4",Y$4:Y$74)</f>
        <v/>
      </c>
      <c r="Z78">
        <f>SUMIF(Itens_B!$B$2:$B$72,"4",Z$4:Z$74)</f>
        <v/>
      </c>
      <c r="AA78">
        <f>SUMIF(Itens_B!$B$2:$B$72,"4",AA$4:AA$74)</f>
        <v/>
      </c>
      <c r="AB78">
        <f>SUMIF(Itens_B!$B$2:$B$72,"4",AB$4:AB$74)</f>
        <v/>
      </c>
      <c r="AC78">
        <f>SUMIF(Itens_B!$B$2:$B$72,"4",AC$4:AC$74)</f>
        <v/>
      </c>
      <c r="AD78">
        <f>SUMIF(Itens_B!$B$2:$B$72,"4",AD$4:AD$74)</f>
        <v/>
      </c>
      <c r="AE78">
        <f>SUMIF(Itens_B!$B$2:$B$72,"4",AE$4:AE$74)</f>
        <v/>
      </c>
      <c r="AF78">
        <f>SUMIF(Itens_B!$B$2:$B$72,"4",AF$4:AF$74)</f>
        <v/>
      </c>
    </row>
    <row r="79">
      <c r="A79" t="inlineStr">
        <is>
          <t>Subtotal Bloco 5</t>
        </is>
      </c>
      <c r="B79">
        <f>SUMIF(Itens_B!$B$2:$B$72,"5",B$4:B$74)</f>
        <v/>
      </c>
      <c r="C79">
        <f>SUMIF(Itens_B!$B$2:$B$72,"5",C$4:C$74)</f>
        <v/>
      </c>
      <c r="D79">
        <f>SUMIF(Itens_B!$B$2:$B$72,"5",D$4:D$74)</f>
        <v/>
      </c>
      <c r="E79">
        <f>SUMIF(Itens_B!$B$2:$B$72,"5",E$4:E$74)</f>
        <v/>
      </c>
      <c r="F79">
        <f>SUMIF(Itens_B!$B$2:$B$72,"5",F$4:F$74)</f>
        <v/>
      </c>
      <c r="G79">
        <f>SUMIF(Itens_B!$B$2:$B$72,"5",G$4:G$74)</f>
        <v/>
      </c>
      <c r="H79">
        <f>SUMIF(Itens_B!$B$2:$B$72,"5",H$4:H$74)</f>
        <v/>
      </c>
      <c r="I79">
        <f>SUMIF(Itens_B!$B$2:$B$72,"5",I$4:I$74)</f>
        <v/>
      </c>
      <c r="J79">
        <f>SUMIF(Itens_B!$B$2:$B$72,"5",J$4:J$74)</f>
        <v/>
      </c>
      <c r="K79">
        <f>SUMIF(Itens_B!$B$2:$B$72,"5",K$4:K$74)</f>
        <v/>
      </c>
      <c r="L79">
        <f>SUMIF(Itens_B!$B$2:$B$72,"5",L$4:L$74)</f>
        <v/>
      </c>
      <c r="M79">
        <f>SUMIF(Itens_B!$B$2:$B$72,"5",M$4:M$74)</f>
        <v/>
      </c>
      <c r="N79">
        <f>SUMIF(Itens_B!$B$2:$B$72,"5",N$4:N$74)</f>
        <v/>
      </c>
      <c r="O79">
        <f>SUMIF(Itens_B!$B$2:$B$72,"5",O$4:O$74)</f>
        <v/>
      </c>
      <c r="P79">
        <f>SUMIF(Itens_B!$B$2:$B$72,"5",P$4:P$74)</f>
        <v/>
      </c>
      <c r="Q79">
        <f>SUMIF(Itens_B!$B$2:$B$72,"5",Q$4:Q$74)</f>
        <v/>
      </c>
      <c r="R79">
        <f>SUMIF(Itens_B!$B$2:$B$72,"5",R$4:R$74)</f>
        <v/>
      </c>
      <c r="S79">
        <f>SUMIF(Itens_B!$B$2:$B$72,"5",S$4:S$74)</f>
        <v/>
      </c>
      <c r="T79">
        <f>SUMIF(Itens_B!$B$2:$B$72,"5",T$4:T$74)</f>
        <v/>
      </c>
      <c r="U79">
        <f>SUMIF(Itens_B!$B$2:$B$72,"5",U$4:U$74)</f>
        <v/>
      </c>
      <c r="V79">
        <f>SUMIF(Itens_B!$B$2:$B$72,"5",V$4:V$74)</f>
        <v/>
      </c>
      <c r="W79">
        <f>SUMIF(Itens_B!$B$2:$B$72,"5",W$4:W$74)</f>
        <v/>
      </c>
      <c r="X79">
        <f>SUMIF(Itens_B!$B$2:$B$72,"5",X$4:X$74)</f>
        <v/>
      </c>
      <c r="Y79">
        <f>SUMIF(Itens_B!$B$2:$B$72,"5",Y$4:Y$74)</f>
        <v/>
      </c>
      <c r="Z79">
        <f>SUMIF(Itens_B!$B$2:$B$72,"5",Z$4:Z$74)</f>
        <v/>
      </c>
      <c r="AA79">
        <f>SUMIF(Itens_B!$B$2:$B$72,"5",AA$4:AA$74)</f>
        <v/>
      </c>
      <c r="AB79">
        <f>SUMIF(Itens_B!$B$2:$B$72,"5",AB$4:AB$74)</f>
        <v/>
      </c>
      <c r="AC79">
        <f>SUMIF(Itens_B!$B$2:$B$72,"5",AC$4:AC$74)</f>
        <v/>
      </c>
      <c r="AD79">
        <f>SUMIF(Itens_B!$B$2:$B$72,"5",AD$4:AD$74)</f>
        <v/>
      </c>
      <c r="AE79">
        <f>SUMIF(Itens_B!$B$2:$B$72,"5",AE$4:AE$74)</f>
        <v/>
      </c>
      <c r="AF79">
        <f>SUMIF(Itens_B!$B$2:$B$72,"5",AF$4:AF$74)</f>
        <v/>
      </c>
    </row>
    <row r="80">
      <c r="A80" t="inlineStr">
        <is>
          <t>Subtotal Bloco 6</t>
        </is>
      </c>
      <c r="B80">
        <f>SUMIF(Itens_B!$B$2:$B$72,"6",B$4:B$74)</f>
        <v/>
      </c>
      <c r="C80">
        <f>SUMIF(Itens_B!$B$2:$B$72,"6",C$4:C$74)</f>
        <v/>
      </c>
      <c r="D80">
        <f>SUMIF(Itens_B!$B$2:$B$72,"6",D$4:D$74)</f>
        <v/>
      </c>
      <c r="E80">
        <f>SUMIF(Itens_B!$B$2:$B$72,"6",E$4:E$74)</f>
        <v/>
      </c>
      <c r="F80">
        <f>SUMIF(Itens_B!$B$2:$B$72,"6",F$4:F$74)</f>
        <v/>
      </c>
      <c r="G80">
        <f>SUMIF(Itens_B!$B$2:$B$72,"6",G$4:G$74)</f>
        <v/>
      </c>
      <c r="H80">
        <f>SUMIF(Itens_B!$B$2:$B$72,"6",H$4:H$74)</f>
        <v/>
      </c>
      <c r="I80">
        <f>SUMIF(Itens_B!$B$2:$B$72,"6",I$4:I$74)</f>
        <v/>
      </c>
      <c r="J80">
        <f>SUMIF(Itens_B!$B$2:$B$72,"6",J$4:J$74)</f>
        <v/>
      </c>
      <c r="K80">
        <f>SUMIF(Itens_B!$B$2:$B$72,"6",K$4:K$74)</f>
        <v/>
      </c>
      <c r="L80">
        <f>SUMIF(Itens_B!$B$2:$B$72,"6",L$4:L$74)</f>
        <v/>
      </c>
      <c r="M80">
        <f>SUMIF(Itens_B!$B$2:$B$72,"6",M$4:M$74)</f>
        <v/>
      </c>
      <c r="N80">
        <f>SUMIF(Itens_B!$B$2:$B$72,"6",N$4:N$74)</f>
        <v/>
      </c>
      <c r="O80">
        <f>SUMIF(Itens_B!$B$2:$B$72,"6",O$4:O$74)</f>
        <v/>
      </c>
      <c r="P80">
        <f>SUMIF(Itens_B!$B$2:$B$72,"6",P$4:P$74)</f>
        <v/>
      </c>
      <c r="Q80">
        <f>SUMIF(Itens_B!$B$2:$B$72,"6",Q$4:Q$74)</f>
        <v/>
      </c>
      <c r="R80">
        <f>SUMIF(Itens_B!$B$2:$B$72,"6",R$4:R$74)</f>
        <v/>
      </c>
      <c r="S80">
        <f>SUMIF(Itens_B!$B$2:$B$72,"6",S$4:S$74)</f>
        <v/>
      </c>
      <c r="T80">
        <f>SUMIF(Itens_B!$B$2:$B$72,"6",T$4:T$74)</f>
        <v/>
      </c>
      <c r="U80">
        <f>SUMIF(Itens_B!$B$2:$B$72,"6",U$4:U$74)</f>
        <v/>
      </c>
      <c r="V80">
        <f>SUMIF(Itens_B!$B$2:$B$72,"6",V$4:V$74)</f>
        <v/>
      </c>
      <c r="W80">
        <f>SUMIF(Itens_B!$B$2:$B$72,"6",W$4:W$74)</f>
        <v/>
      </c>
      <c r="X80">
        <f>SUMIF(Itens_B!$B$2:$B$72,"6",X$4:X$74)</f>
        <v/>
      </c>
      <c r="Y80">
        <f>SUMIF(Itens_B!$B$2:$B$72,"6",Y$4:Y$74)</f>
        <v/>
      </c>
      <c r="Z80">
        <f>SUMIF(Itens_B!$B$2:$B$72,"6",Z$4:Z$74)</f>
        <v/>
      </c>
      <c r="AA80">
        <f>SUMIF(Itens_B!$B$2:$B$72,"6",AA$4:AA$74)</f>
        <v/>
      </c>
      <c r="AB80">
        <f>SUMIF(Itens_B!$B$2:$B$72,"6",AB$4:AB$74)</f>
        <v/>
      </c>
      <c r="AC80">
        <f>SUMIF(Itens_B!$B$2:$B$72,"6",AC$4:AC$74)</f>
        <v/>
      </c>
      <c r="AD80">
        <f>SUMIF(Itens_B!$B$2:$B$72,"6",AD$4:AD$74)</f>
        <v/>
      </c>
      <c r="AE80">
        <f>SUMIF(Itens_B!$B$2:$B$72,"6",AE$4:AE$74)</f>
        <v/>
      </c>
      <c r="AF80">
        <f>SUMIF(Itens_B!$B$2:$B$72,"6",AF$4:AF$74)</f>
        <v/>
      </c>
    </row>
    <row r="81">
      <c r="A81" t="inlineStr">
        <is>
          <t>Subtotal Bloco 6.b</t>
        </is>
      </c>
      <c r="B81">
        <f>SUMIF(Itens_B!$B$2:$B$72,"6.b",B$4:B$74)</f>
        <v/>
      </c>
      <c r="C81">
        <f>SUMIF(Itens_B!$B$2:$B$72,"6.b",C$4:C$74)</f>
        <v/>
      </c>
      <c r="D81">
        <f>SUMIF(Itens_B!$B$2:$B$72,"6.b",D$4:D$74)</f>
        <v/>
      </c>
      <c r="E81">
        <f>SUMIF(Itens_B!$B$2:$B$72,"6.b",E$4:E$74)</f>
        <v/>
      </c>
      <c r="F81">
        <f>SUMIF(Itens_B!$B$2:$B$72,"6.b",F$4:F$74)</f>
        <v/>
      </c>
      <c r="G81">
        <f>SUMIF(Itens_B!$B$2:$B$72,"6.b",G$4:G$74)</f>
        <v/>
      </c>
      <c r="H81">
        <f>SUMIF(Itens_B!$B$2:$B$72,"6.b",H$4:H$74)</f>
        <v/>
      </c>
      <c r="I81">
        <f>SUMIF(Itens_B!$B$2:$B$72,"6.b",I$4:I$74)</f>
        <v/>
      </c>
      <c r="J81">
        <f>SUMIF(Itens_B!$B$2:$B$72,"6.b",J$4:J$74)</f>
        <v/>
      </c>
      <c r="K81">
        <f>SUMIF(Itens_B!$B$2:$B$72,"6.b",K$4:K$74)</f>
        <v/>
      </c>
      <c r="L81">
        <f>SUMIF(Itens_B!$B$2:$B$72,"6.b",L$4:L$74)</f>
        <v/>
      </c>
      <c r="M81">
        <f>SUMIF(Itens_B!$B$2:$B$72,"6.b",M$4:M$74)</f>
        <v/>
      </c>
      <c r="N81">
        <f>SUMIF(Itens_B!$B$2:$B$72,"6.b",N$4:N$74)</f>
        <v/>
      </c>
      <c r="O81">
        <f>SUMIF(Itens_B!$B$2:$B$72,"6.b",O$4:O$74)</f>
        <v/>
      </c>
      <c r="P81">
        <f>SUMIF(Itens_B!$B$2:$B$72,"6.b",P$4:P$74)</f>
        <v/>
      </c>
      <c r="Q81">
        <f>SUMIF(Itens_B!$B$2:$B$72,"6.b",Q$4:Q$74)</f>
        <v/>
      </c>
      <c r="R81">
        <f>SUMIF(Itens_B!$B$2:$B$72,"6.b",R$4:R$74)</f>
        <v/>
      </c>
      <c r="S81">
        <f>SUMIF(Itens_B!$B$2:$B$72,"6.b",S$4:S$74)</f>
        <v/>
      </c>
      <c r="T81">
        <f>SUMIF(Itens_B!$B$2:$B$72,"6.b",T$4:T$74)</f>
        <v/>
      </c>
      <c r="U81">
        <f>SUMIF(Itens_B!$B$2:$B$72,"6.b",U$4:U$74)</f>
        <v/>
      </c>
      <c r="V81">
        <f>SUMIF(Itens_B!$B$2:$B$72,"6.b",V$4:V$74)</f>
        <v/>
      </c>
      <c r="W81">
        <f>SUMIF(Itens_B!$B$2:$B$72,"6.b",W$4:W$74)</f>
        <v/>
      </c>
      <c r="X81">
        <f>SUMIF(Itens_B!$B$2:$B$72,"6.b",X$4:X$74)</f>
        <v/>
      </c>
      <c r="Y81">
        <f>SUMIF(Itens_B!$B$2:$B$72,"6.b",Y$4:Y$74)</f>
        <v/>
      </c>
      <c r="Z81">
        <f>SUMIF(Itens_B!$B$2:$B$72,"6.b",Z$4:Z$74)</f>
        <v/>
      </c>
      <c r="AA81">
        <f>SUMIF(Itens_B!$B$2:$B$72,"6.b",AA$4:AA$74)</f>
        <v/>
      </c>
      <c r="AB81">
        <f>SUMIF(Itens_B!$B$2:$B$72,"6.b",AB$4:AB$74)</f>
        <v/>
      </c>
      <c r="AC81">
        <f>SUMIF(Itens_B!$B$2:$B$72,"6.b",AC$4:AC$74)</f>
        <v/>
      </c>
      <c r="AD81">
        <f>SUMIF(Itens_B!$B$2:$B$72,"6.b",AD$4:AD$74)</f>
        <v/>
      </c>
      <c r="AE81">
        <f>SUMIF(Itens_B!$B$2:$B$72,"6.b",AE$4:AE$74)</f>
        <v/>
      </c>
      <c r="AF81">
        <f>SUMIF(Itens_B!$B$2:$B$72,"6.b",AF$4:AF$74)</f>
        <v/>
      </c>
    </row>
    <row r="82">
      <c r="A82" t="inlineStr">
        <is>
          <t>Bloco 7 raw (antes do clamp)</t>
        </is>
      </c>
      <c r="B82">
        <f>SUMIF(Itens_B!$B$2:$B$72,"7",B$4:B$74)</f>
        <v/>
      </c>
      <c r="C82">
        <f>SUMIF(Itens_B!$B$2:$B$72,"7",C$4:C$74)</f>
        <v/>
      </c>
      <c r="D82">
        <f>SUMIF(Itens_B!$B$2:$B$72,"7",D$4:D$74)</f>
        <v/>
      </c>
      <c r="E82">
        <f>SUMIF(Itens_B!$B$2:$B$72,"7",E$4:E$74)</f>
        <v/>
      </c>
      <c r="F82">
        <f>SUMIF(Itens_B!$B$2:$B$72,"7",F$4:F$74)</f>
        <v/>
      </c>
      <c r="G82">
        <f>SUMIF(Itens_B!$B$2:$B$72,"7",G$4:G$74)</f>
        <v/>
      </c>
      <c r="H82">
        <f>SUMIF(Itens_B!$B$2:$B$72,"7",H$4:H$74)</f>
        <v/>
      </c>
      <c r="I82">
        <f>SUMIF(Itens_B!$B$2:$B$72,"7",I$4:I$74)</f>
        <v/>
      </c>
      <c r="J82">
        <f>SUMIF(Itens_B!$B$2:$B$72,"7",J$4:J$74)</f>
        <v/>
      </c>
      <c r="K82">
        <f>SUMIF(Itens_B!$B$2:$B$72,"7",K$4:K$74)</f>
        <v/>
      </c>
      <c r="L82">
        <f>SUMIF(Itens_B!$B$2:$B$72,"7",L$4:L$74)</f>
        <v/>
      </c>
      <c r="M82">
        <f>SUMIF(Itens_B!$B$2:$B$72,"7",M$4:M$74)</f>
        <v/>
      </c>
      <c r="N82">
        <f>SUMIF(Itens_B!$B$2:$B$72,"7",N$4:N$74)</f>
        <v/>
      </c>
      <c r="O82">
        <f>SUMIF(Itens_B!$B$2:$B$72,"7",O$4:O$74)</f>
        <v/>
      </c>
      <c r="P82">
        <f>SUMIF(Itens_B!$B$2:$B$72,"7",P$4:P$74)</f>
        <v/>
      </c>
      <c r="Q82">
        <f>SUMIF(Itens_B!$B$2:$B$72,"7",Q$4:Q$74)</f>
        <v/>
      </c>
      <c r="R82">
        <f>SUMIF(Itens_B!$B$2:$B$72,"7",R$4:R$74)</f>
        <v/>
      </c>
      <c r="S82">
        <f>SUMIF(Itens_B!$B$2:$B$72,"7",S$4:S$74)</f>
        <v/>
      </c>
      <c r="T82">
        <f>SUMIF(Itens_B!$B$2:$B$72,"7",T$4:T$74)</f>
        <v/>
      </c>
      <c r="U82">
        <f>SUMIF(Itens_B!$B$2:$B$72,"7",U$4:U$74)</f>
        <v/>
      </c>
      <c r="V82">
        <f>SUMIF(Itens_B!$B$2:$B$72,"7",V$4:V$74)</f>
        <v/>
      </c>
      <c r="W82">
        <f>SUMIF(Itens_B!$B$2:$B$72,"7",W$4:W$74)</f>
        <v/>
      </c>
      <c r="X82">
        <f>SUMIF(Itens_B!$B$2:$B$72,"7",X$4:X$74)</f>
        <v/>
      </c>
      <c r="Y82">
        <f>SUMIF(Itens_B!$B$2:$B$72,"7",Y$4:Y$74)</f>
        <v/>
      </c>
      <c r="Z82">
        <f>SUMIF(Itens_B!$B$2:$B$72,"7",Z$4:Z$74)</f>
        <v/>
      </c>
      <c r="AA82">
        <f>SUMIF(Itens_B!$B$2:$B$72,"7",AA$4:AA$74)</f>
        <v/>
      </c>
      <c r="AB82">
        <f>SUMIF(Itens_B!$B$2:$B$72,"7",AB$4:AB$74)</f>
        <v/>
      </c>
      <c r="AC82">
        <f>SUMIF(Itens_B!$B$2:$B$72,"7",AC$4:AC$74)</f>
        <v/>
      </c>
      <c r="AD82">
        <f>SUMIF(Itens_B!$B$2:$B$72,"7",AD$4:AD$74)</f>
        <v/>
      </c>
      <c r="AE82">
        <f>SUMIF(Itens_B!$B$2:$B$72,"7",AE$4:AE$74)</f>
        <v/>
      </c>
      <c r="AF82">
        <f>SUMIF(Itens_B!$B$2:$B$72,"7",AF$4:AF$74)</f>
        <v/>
      </c>
    </row>
    <row r="83">
      <c r="A83" t="inlineStr">
        <is>
          <t>Bloco 7 (clamp piso 0 — A1)</t>
        </is>
      </c>
      <c r="B83">
        <f>MAX(0,B82)</f>
        <v/>
      </c>
      <c r="C83">
        <f>MAX(0,C82)</f>
        <v/>
      </c>
      <c r="D83">
        <f>MAX(0,D82)</f>
        <v/>
      </c>
      <c r="E83">
        <f>MAX(0,E82)</f>
        <v/>
      </c>
      <c r="F83">
        <f>MAX(0,F82)</f>
        <v/>
      </c>
      <c r="G83">
        <f>MAX(0,G82)</f>
        <v/>
      </c>
      <c r="H83">
        <f>MAX(0,H82)</f>
        <v/>
      </c>
      <c r="I83">
        <f>MAX(0,I82)</f>
        <v/>
      </c>
      <c r="J83">
        <f>MAX(0,J82)</f>
        <v/>
      </c>
      <c r="K83">
        <f>MAX(0,K82)</f>
        <v/>
      </c>
      <c r="L83">
        <f>MAX(0,L82)</f>
        <v/>
      </c>
      <c r="M83">
        <f>MAX(0,M82)</f>
        <v/>
      </c>
      <c r="N83">
        <f>MAX(0,N82)</f>
        <v/>
      </c>
      <c r="O83">
        <f>MAX(0,O82)</f>
        <v/>
      </c>
      <c r="P83">
        <f>MAX(0,P82)</f>
        <v/>
      </c>
      <c r="Q83">
        <f>MAX(0,Q82)</f>
        <v/>
      </c>
      <c r="R83">
        <f>MAX(0,R82)</f>
        <v/>
      </c>
      <c r="S83">
        <f>MAX(0,S82)</f>
        <v/>
      </c>
      <c r="T83">
        <f>MAX(0,T82)</f>
        <v/>
      </c>
      <c r="U83">
        <f>MAX(0,U82)</f>
        <v/>
      </c>
      <c r="V83">
        <f>MAX(0,V82)</f>
        <v/>
      </c>
      <c r="W83">
        <f>MAX(0,W82)</f>
        <v/>
      </c>
      <c r="X83">
        <f>MAX(0,X82)</f>
        <v/>
      </c>
      <c r="Y83">
        <f>MAX(0,Y82)</f>
        <v/>
      </c>
      <c r="Z83">
        <f>MAX(0,Z82)</f>
        <v/>
      </c>
      <c r="AA83">
        <f>MAX(0,AA82)</f>
        <v/>
      </c>
      <c r="AB83">
        <f>MAX(0,AB82)</f>
        <v/>
      </c>
      <c r="AC83">
        <f>MAX(0,AC82)</f>
        <v/>
      </c>
      <c r="AD83">
        <f>MAX(0,AD82)</f>
        <v/>
      </c>
      <c r="AE83">
        <f>MAX(0,AE82)</f>
        <v/>
      </c>
      <c r="AF83">
        <f>MAX(0,AF82)</f>
        <v/>
      </c>
    </row>
    <row r="84">
      <c r="A84" t="inlineStr">
        <is>
          <t>TOTAL (6.b só se ativado)</t>
        </is>
      </c>
      <c r="B84">
        <f>B75+B76+B77+B78+B79+B80+B83+IF(B$2="sim",B81,0)</f>
        <v/>
      </c>
      <c r="C84">
        <f>C75+C76+C77+C78+C79+C80+C83+IF(C$2="sim",C81,0)</f>
        <v/>
      </c>
      <c r="D84">
        <f>D75+D76+D77+D78+D79+D80+D83+IF(D$2="sim",D81,0)</f>
        <v/>
      </c>
      <c r="E84">
        <f>E75+E76+E77+E78+E79+E80+E83+IF(E$2="sim",E81,0)</f>
        <v/>
      </c>
      <c r="F84">
        <f>F75+F76+F77+F78+F79+F80+F83+IF(F$2="sim",F81,0)</f>
        <v/>
      </c>
      <c r="G84">
        <f>G75+G76+G77+G78+G79+G80+G83+IF(G$2="sim",G81,0)</f>
        <v/>
      </c>
      <c r="H84">
        <f>H75+H76+H77+H78+H79+H80+H83+IF(H$2="sim",H81,0)</f>
        <v/>
      </c>
      <c r="I84">
        <f>I75+I76+I77+I78+I79+I80+I83+IF(I$2="sim",I81,0)</f>
        <v/>
      </c>
      <c r="J84">
        <f>J75+J76+J77+J78+J79+J80+J83+IF(J$2="sim",J81,0)</f>
        <v/>
      </c>
      <c r="K84">
        <f>K75+K76+K77+K78+K79+K80+K83+IF(K$2="sim",K81,0)</f>
        <v/>
      </c>
      <c r="L84">
        <f>L75+L76+L77+L78+L79+L80+L83+IF(L$2="sim",L81,0)</f>
        <v/>
      </c>
      <c r="M84">
        <f>M75+M76+M77+M78+M79+M80+M83+IF(M$2="sim",M81,0)</f>
        <v/>
      </c>
      <c r="N84">
        <f>N75+N76+N77+N78+N79+N80+N83+IF(N$2="sim",N81,0)</f>
        <v/>
      </c>
      <c r="O84">
        <f>O75+O76+O77+O78+O79+O80+O83+IF(O$2="sim",O81,0)</f>
        <v/>
      </c>
      <c r="P84">
        <f>P75+P76+P77+P78+P79+P80+P83+IF(P$2="sim",P81,0)</f>
        <v/>
      </c>
      <c r="Q84">
        <f>Q75+Q76+Q77+Q78+Q79+Q80+Q83+IF(Q$2="sim",Q81,0)</f>
        <v/>
      </c>
      <c r="R84">
        <f>R75+R76+R77+R78+R79+R80+R83+IF(R$2="sim",R81,0)</f>
        <v/>
      </c>
      <c r="S84">
        <f>S75+S76+S77+S78+S79+S80+S83+IF(S$2="sim",S81,0)</f>
        <v/>
      </c>
      <c r="T84">
        <f>T75+T76+T77+T78+T79+T80+T83+IF(T$2="sim",T81,0)</f>
        <v/>
      </c>
      <c r="U84">
        <f>U75+U76+U77+U78+U79+U80+U83+IF(U$2="sim",U81,0)</f>
        <v/>
      </c>
      <c r="V84">
        <f>V75+V76+V77+V78+V79+V80+V83+IF(V$2="sim",V81,0)</f>
        <v/>
      </c>
      <c r="W84">
        <f>W75+W76+W77+W78+W79+W80+W83+IF(W$2="sim",W81,0)</f>
        <v/>
      </c>
      <c r="X84">
        <f>X75+X76+X77+X78+X79+X80+X83+IF(X$2="sim",X81,0)</f>
        <v/>
      </c>
      <c r="Y84">
        <f>Y75+Y76+Y77+Y78+Y79+Y80+Y83+IF(Y$2="sim",Y81,0)</f>
        <v/>
      </c>
      <c r="Z84">
        <f>Z75+Z76+Z77+Z78+Z79+Z80+Z83+IF(Z$2="sim",Z81,0)</f>
        <v/>
      </c>
      <c r="AA84">
        <f>AA75+AA76+AA77+AA78+AA79+AA80+AA83+IF(AA$2="sim",AA81,0)</f>
        <v/>
      </c>
      <c r="AB84">
        <f>AB75+AB76+AB77+AB78+AB79+AB80+AB83+IF(AB$2="sim",AB81,0)</f>
        <v/>
      </c>
      <c r="AC84">
        <f>AC75+AC76+AC77+AC78+AC79+AC80+AC83+IF(AC$2="sim",AC81,0)</f>
        <v/>
      </c>
      <c r="AD84">
        <f>AD75+AD76+AD77+AD78+AD79+AD80+AD83+IF(AD$2="sim",AD81,0)</f>
        <v/>
      </c>
      <c r="AE84">
        <f>AE75+AE76+AE77+AE78+AE79+AE80+AE83+IF(AE$2="sim",AE81,0)</f>
        <v/>
      </c>
      <c r="AF84">
        <f>AF75+AF76+AF77+AF78+AF79+AF80+AF83+IF(AF$2="sim",AF81,0)</f>
        <v/>
      </c>
    </row>
    <row r="85">
      <c r="A85" t="inlineStr">
        <is>
          <t>Nível por faixa (cortes 58/127/208 · 64/141/230)</t>
        </is>
      </c>
      <c r="B85">
        <f>IF(B84&lt;=IF(B$2="sim",64,58),"I",IF(B84&lt;=IF(B$2="sim",141,127),"II",IF(B84&lt;=IF(B$2="sim",230,208),"III","IV"))))</f>
        <v/>
      </c>
      <c r="C85">
        <f>IF(C84&lt;=IF(C$2="sim",64,58),"I",IF(C84&lt;=IF(C$2="sim",141,127),"II",IF(C84&lt;=IF(C$2="sim",230,208),"III","IV"))))</f>
        <v/>
      </c>
      <c r="D85">
        <f>IF(D84&lt;=IF(D$2="sim",64,58),"I",IF(D84&lt;=IF(D$2="sim",141,127),"II",IF(D84&lt;=IF(D$2="sim",230,208),"III","IV"))))</f>
        <v/>
      </c>
      <c r="E85">
        <f>IF(E84&lt;=IF(E$2="sim",64,58),"I",IF(E84&lt;=IF(E$2="sim",141,127),"II",IF(E84&lt;=IF(E$2="sim",230,208),"III","IV"))))</f>
        <v/>
      </c>
      <c r="F85">
        <f>IF(F84&lt;=IF(F$2="sim",64,58),"I",IF(F84&lt;=IF(F$2="sim",141,127),"II",IF(F84&lt;=IF(F$2="sim",230,208),"III","IV"))))</f>
        <v/>
      </c>
      <c r="G85">
        <f>IF(G84&lt;=IF(G$2="sim",64,58),"I",IF(G84&lt;=IF(G$2="sim",141,127),"II",IF(G84&lt;=IF(G$2="sim",230,208),"III","IV"))))</f>
        <v/>
      </c>
      <c r="H85">
        <f>IF(H84&lt;=IF(H$2="sim",64,58),"I",IF(H84&lt;=IF(H$2="sim",141,127),"II",IF(H84&lt;=IF(H$2="sim",230,208),"III","IV"))))</f>
        <v/>
      </c>
      <c r="I85">
        <f>IF(I84&lt;=IF(I$2="sim",64,58),"I",IF(I84&lt;=IF(I$2="sim",141,127),"II",IF(I84&lt;=IF(I$2="sim",230,208),"III","IV"))))</f>
        <v/>
      </c>
      <c r="J85">
        <f>IF(J84&lt;=IF(J$2="sim",64,58),"I",IF(J84&lt;=IF(J$2="sim",141,127),"II",IF(J84&lt;=IF(J$2="sim",230,208),"III","IV"))))</f>
        <v/>
      </c>
      <c r="K85">
        <f>IF(K84&lt;=IF(K$2="sim",64,58),"I",IF(K84&lt;=IF(K$2="sim",141,127),"II",IF(K84&lt;=IF(K$2="sim",230,208),"III","IV"))))</f>
        <v/>
      </c>
      <c r="L85">
        <f>IF(L84&lt;=IF(L$2="sim",64,58),"I",IF(L84&lt;=IF(L$2="sim",141,127),"II",IF(L84&lt;=IF(L$2="sim",230,208),"III","IV"))))</f>
        <v/>
      </c>
      <c r="M85">
        <f>IF(M84&lt;=IF(M$2="sim",64,58),"I",IF(M84&lt;=IF(M$2="sim",141,127),"II",IF(M84&lt;=IF(M$2="sim",230,208),"III","IV"))))</f>
        <v/>
      </c>
      <c r="N85">
        <f>IF(N84&lt;=IF(N$2="sim",64,58),"I",IF(N84&lt;=IF(N$2="sim",141,127),"II",IF(N84&lt;=IF(N$2="sim",230,208),"III","IV"))))</f>
        <v/>
      </c>
      <c r="O85">
        <f>IF(O84&lt;=IF(O$2="sim",64,58),"I",IF(O84&lt;=IF(O$2="sim",141,127),"II",IF(O84&lt;=IF(O$2="sim",230,208),"III","IV"))))</f>
        <v/>
      </c>
      <c r="P85">
        <f>IF(P84&lt;=IF(P$2="sim",64,58),"I",IF(P84&lt;=IF(P$2="sim",141,127),"II",IF(P84&lt;=IF(P$2="sim",230,208),"III","IV"))))</f>
        <v/>
      </c>
      <c r="Q85">
        <f>IF(Q84&lt;=IF(Q$2="sim",64,58),"I",IF(Q84&lt;=IF(Q$2="sim",141,127),"II",IF(Q84&lt;=IF(Q$2="sim",230,208),"III","IV"))))</f>
        <v/>
      </c>
      <c r="R85">
        <f>IF(R84&lt;=IF(R$2="sim",64,58),"I",IF(R84&lt;=IF(R$2="sim",141,127),"II",IF(R84&lt;=IF(R$2="sim",230,208),"III","IV"))))</f>
        <v/>
      </c>
      <c r="S85">
        <f>IF(S84&lt;=IF(S$2="sim",64,58),"I",IF(S84&lt;=IF(S$2="sim",141,127),"II",IF(S84&lt;=IF(S$2="sim",230,208),"III","IV"))))</f>
        <v/>
      </c>
      <c r="T85">
        <f>IF(T84&lt;=IF(T$2="sim",64,58),"I",IF(T84&lt;=IF(T$2="sim",141,127),"II",IF(T84&lt;=IF(T$2="sim",230,208),"III","IV"))))</f>
        <v/>
      </c>
      <c r="U85">
        <f>IF(U84&lt;=IF(U$2="sim",64,58),"I",IF(U84&lt;=IF(U$2="sim",141,127),"II",IF(U84&lt;=IF(U$2="sim",230,208),"III","IV"))))</f>
        <v/>
      </c>
      <c r="V85">
        <f>IF(V84&lt;=IF(V$2="sim",64,58),"I",IF(V84&lt;=IF(V$2="sim",141,127),"II",IF(V84&lt;=IF(V$2="sim",230,208),"III","IV"))))</f>
        <v/>
      </c>
      <c r="W85">
        <f>IF(W84&lt;=IF(W$2="sim",64,58),"I",IF(W84&lt;=IF(W$2="sim",141,127),"II",IF(W84&lt;=IF(W$2="sim",230,208),"III","IV"))))</f>
        <v/>
      </c>
      <c r="X85">
        <f>IF(X84&lt;=IF(X$2="sim",64,58),"I",IF(X84&lt;=IF(X$2="sim",141,127),"II",IF(X84&lt;=IF(X$2="sim",230,208),"III","IV"))))</f>
        <v/>
      </c>
      <c r="Y85">
        <f>IF(Y84&lt;=IF(Y$2="sim",64,58),"I",IF(Y84&lt;=IF(Y$2="sim",141,127),"II",IF(Y84&lt;=IF(Y$2="sim",230,208),"III","IV"))))</f>
        <v/>
      </c>
      <c r="Z85">
        <f>IF(Z84&lt;=IF(Z$2="sim",64,58),"I",IF(Z84&lt;=IF(Z$2="sim",141,127),"II",IF(Z84&lt;=IF(Z$2="sim",230,208),"III","IV"))))</f>
        <v/>
      </c>
      <c r="AA85">
        <f>IF(AA84&lt;=IF(AA$2="sim",64,58),"I",IF(AA84&lt;=IF(AA$2="sim",141,127),"II",IF(AA84&lt;=IF(AA$2="sim",230,208),"III","IV"))))</f>
        <v/>
      </c>
      <c r="AB85">
        <f>IF(AB84&lt;=IF(AB$2="sim",64,58),"I",IF(AB84&lt;=IF(AB$2="sim",141,127),"II",IF(AB84&lt;=IF(AB$2="sim",230,208),"III","IV"))))</f>
        <v/>
      </c>
      <c r="AC85">
        <f>IF(AC84&lt;=IF(AC$2="sim",64,58),"I",IF(AC84&lt;=IF(AC$2="sim",141,127),"II",IF(AC84&lt;=IF(AC$2="sim",230,208),"III","IV"))))</f>
        <v/>
      </c>
      <c r="AD85">
        <f>IF(AD84&lt;=IF(AD$2="sim",64,58),"I",IF(AD84&lt;=IF(AD$2="sim",141,127),"II",IF(AD84&lt;=IF(AD$2="sim",230,208),"III","IV"))))</f>
        <v/>
      </c>
      <c r="AE85">
        <f>IF(AE84&lt;=IF(AE$2="sim",64,58),"I",IF(AE84&lt;=IF(AE$2="sim",141,127),"II",IF(AE84&lt;=IF(AE$2="sim",230,208),"III","IV"))))</f>
        <v/>
      </c>
      <c r="AF85">
        <f>IF(AF84&lt;=IF(AF$2="sim",64,58),"I",IF(AF84&lt;=IF(AF$2="sim",141,127),"II",IF(AF84&lt;=IF(AF$2="sim",230,208),"III","IV"))))</f>
        <v/>
      </c>
    </row>
    <row r="86">
      <c r="A86" t="inlineStr">
        <is>
          <t>Resultado final esperado (com overrides — A4)</t>
        </is>
      </c>
      <c r="B86" t="inlineStr">
        <is>
          <t>I</t>
        </is>
      </c>
      <c r="C86" t="inlineStr">
        <is>
          <t>I</t>
        </is>
      </c>
      <c r="D86" t="inlineStr">
        <is>
          <t>II</t>
        </is>
      </c>
      <c r="E86" t="inlineStr">
        <is>
          <t>II</t>
        </is>
      </c>
      <c r="F86" t="inlineStr">
        <is>
          <t>II</t>
        </is>
      </c>
      <c r="G86" t="inlineStr">
        <is>
          <t>III</t>
        </is>
      </c>
      <c r="H86" t="inlineStr">
        <is>
          <t>III</t>
        </is>
      </c>
      <c r="I86" t="inlineStr">
        <is>
          <t>III</t>
        </is>
      </c>
      <c r="J86" t="inlineStr">
        <is>
          <t>IV</t>
        </is>
      </c>
      <c r="K86" t="inlineStr">
        <is>
          <t>IV</t>
        </is>
      </c>
      <c r="L86" t="inlineStr">
        <is>
          <t>I</t>
        </is>
      </c>
      <c r="M86" t="inlineStr">
        <is>
          <t>I</t>
        </is>
      </c>
      <c r="N86" t="inlineStr">
        <is>
          <t>II</t>
        </is>
      </c>
      <c r="O86" t="inlineStr">
        <is>
          <t>II</t>
        </is>
      </c>
      <c r="P86" t="inlineStr">
        <is>
          <t>III</t>
        </is>
      </c>
      <c r="Q86" t="inlineStr">
        <is>
          <t>III</t>
        </is>
      </c>
      <c r="R86" t="inlineStr">
        <is>
          <t>IV</t>
        </is>
      </c>
      <c r="S86" t="inlineStr">
        <is>
          <t>IV</t>
        </is>
      </c>
      <c r="T86" t="inlineStr">
        <is>
          <t>não avaliável</t>
        </is>
      </c>
      <c r="U86" t="inlineStr">
        <is>
          <t>não avaliável</t>
        </is>
      </c>
      <c r="V86" t="inlineStr">
        <is>
          <t>I</t>
        </is>
      </c>
      <c r="W86" t="inlineStr">
        <is>
          <t>I</t>
        </is>
      </c>
      <c r="X86" t="inlineStr">
        <is>
          <t>I</t>
        </is>
      </c>
      <c r="Y86" t="inlineStr">
        <is>
          <t>IV</t>
        </is>
      </c>
      <c r="Z86" t="inlineStr">
        <is>
          <t>IV (Prevalência)</t>
        </is>
      </c>
      <c r="AA86" t="inlineStr">
        <is>
          <t>não avaliável</t>
        </is>
      </c>
      <c r="AB86" t="inlineStr">
        <is>
          <t>não avaliável (devolução)</t>
        </is>
      </c>
      <c r="AC86" t="inlineStr">
        <is>
          <t>não avaliável (devolução)</t>
        </is>
      </c>
      <c r="AD86" t="inlineStr">
        <is>
          <t>não avaliável (devolução)</t>
        </is>
      </c>
      <c r="AE86" t="inlineStr">
        <is>
          <t>não avaliável (devolução)</t>
        </is>
      </c>
      <c r="AF86" t="inlineStr">
        <is>
          <t>II</t>
        </is>
      </c>
    </row>
    <row r="87">
      <c r="A87" t="inlineStr">
        <is>
          <t>Escore app (preencher na v2.0-draft)</t>
        </is>
      </c>
    </row>
    <row r="88">
      <c r="A88" t="inlineStr">
        <is>
          <t>Nível/resultado app</t>
        </is>
      </c>
    </row>
    <row r="89">
      <c r="A89" t="inlineStr">
        <is>
          <t>Δ (deve ser 0 / idêntico)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2" customWidth="1" min="3" max="3"/>
    <col width="20" customWidth="1" min="4" max="4"/>
    <col width="26" customWidth="1" min="5" max="5"/>
    <col width="44" customWidth="1" min="6" max="6"/>
  </cols>
  <sheetData>
    <row r="1">
      <c r="A1" s="2" t="inlineStr">
        <is>
          <t>Linha</t>
        </is>
      </c>
      <c r="B1" s="2" t="inlineStr">
        <is>
          <t>Eixo</t>
        </is>
      </c>
      <c r="C1" s="2" t="inlineStr">
        <is>
          <t>Perguntas de risco (v2)</t>
        </is>
      </c>
      <c r="D1" s="2" t="inlineStr">
        <is>
          <t>Respostas de risco</t>
        </is>
      </c>
      <c r="E1" s="2" t="inlineStr">
        <is>
          <t>Resultado esperado</t>
        </is>
      </c>
      <c r="F1" s="2" t="inlineStr">
        <is>
          <t>Nota</t>
        </is>
      </c>
    </row>
    <row r="2">
      <c r="A2" t="inlineStr">
        <is>
          <t>V17-1.0</t>
        </is>
      </c>
      <c r="B2" t="inlineStr">
        <is>
          <t>Eixo 1 — natureza e autonomia</t>
        </is>
      </c>
      <c r="C2" t="n">
        <v>8</v>
      </c>
      <c r="D2" t="n">
        <v>0</v>
      </c>
      <c r="E2" t="inlineStr">
        <is>
          <t>Nível I</t>
        </is>
      </c>
    </row>
    <row r="3">
      <c r="A3" t="inlineStr">
        <is>
          <t>V17-1.1</t>
        </is>
      </c>
      <c r="B3" t="inlineStr">
        <is>
          <t>Eixo 1 — natureza e autonomia</t>
        </is>
      </c>
      <c r="C3" t="n">
        <v>8</v>
      </c>
      <c r="D3" t="n">
        <v>1</v>
      </c>
      <c r="E3" t="inlineStr">
        <is>
          <t>Nível II</t>
        </is>
      </c>
    </row>
    <row r="4">
      <c r="A4" t="inlineStr">
        <is>
          <t>V17-1.2</t>
        </is>
      </c>
      <c r="B4" t="inlineStr">
        <is>
          <t>Eixo 1 — natureza e autonomia</t>
        </is>
      </c>
      <c r="C4" t="n">
        <v>8</v>
      </c>
      <c r="D4" t="n">
        <v>2</v>
      </c>
      <c r="E4" t="inlineStr">
        <is>
          <t>Nível II</t>
        </is>
      </c>
    </row>
    <row r="5">
      <c r="A5" t="inlineStr">
        <is>
          <t>V17-1.3</t>
        </is>
      </c>
      <c r="B5" t="inlineStr">
        <is>
          <t>Eixo 1 — natureza e autonomia</t>
        </is>
      </c>
      <c r="C5" t="n">
        <v>8</v>
      </c>
      <c r="D5" t="n">
        <v>3</v>
      </c>
      <c r="E5" t="inlineStr">
        <is>
          <t>Nível III</t>
        </is>
      </c>
    </row>
    <row r="6">
      <c r="A6" t="inlineStr">
        <is>
          <t>V17-1.4</t>
        </is>
      </c>
      <c r="B6" t="inlineStr">
        <is>
          <t>Eixo 1 — natureza e autonomia</t>
        </is>
      </c>
      <c r="C6" t="n">
        <v>8</v>
      </c>
      <c r="D6" t="n">
        <v>4</v>
      </c>
      <c r="E6" t="inlineStr">
        <is>
          <t>Nível III</t>
        </is>
      </c>
    </row>
    <row r="7">
      <c r="A7" t="inlineStr">
        <is>
          <t>V17-1.5</t>
        </is>
      </c>
      <c r="B7" t="inlineStr">
        <is>
          <t>Eixo 1 — natureza e autonomia</t>
        </is>
      </c>
      <c r="C7" t="n">
        <v>8</v>
      </c>
      <c r="D7" t="inlineStr">
        <is>
          <t>5+</t>
        </is>
      </c>
      <c r="E7" t="inlineStr">
        <is>
          <t>Nível IV</t>
        </is>
      </c>
    </row>
    <row r="8">
      <c r="A8" t="inlineStr">
        <is>
          <t>V17-2.0</t>
        </is>
      </c>
      <c r="B8" t="inlineStr">
        <is>
          <t>Eixo 2 — impacto (v2)</t>
        </is>
      </c>
      <c r="C8" t="n">
        <v>12</v>
      </c>
      <c r="D8" t="n">
        <v>0</v>
      </c>
      <c r="E8" t="inlineStr">
        <is>
          <t>Nível I</t>
        </is>
      </c>
      <c r="F8" t="inlineStr">
        <is>
          <t>corte absoluto mantido (D-1)</t>
        </is>
      </c>
    </row>
    <row r="9">
      <c r="A9" t="inlineStr">
        <is>
          <t>V17-2.1</t>
        </is>
      </c>
      <c r="B9" t="inlineStr">
        <is>
          <t>Eixo 2 — impacto (v2)</t>
        </is>
      </c>
      <c r="C9" t="n">
        <v>12</v>
      </c>
      <c r="D9" t="n">
        <v>1</v>
      </c>
      <c r="E9" t="inlineStr">
        <is>
          <t>Nível II</t>
        </is>
      </c>
      <c r="F9" t="inlineStr">
        <is>
          <t>corte absoluto mantido (D-1)</t>
        </is>
      </c>
    </row>
    <row r="10">
      <c r="A10" t="inlineStr">
        <is>
          <t>V17-2.2</t>
        </is>
      </c>
      <c r="B10" t="inlineStr">
        <is>
          <t>Eixo 2 — impacto (v2)</t>
        </is>
      </c>
      <c r="C10" t="n">
        <v>12</v>
      </c>
      <c r="D10" t="n">
        <v>2</v>
      </c>
      <c r="E10" t="inlineStr">
        <is>
          <t>Nível II</t>
        </is>
      </c>
      <c r="F10" t="inlineStr">
        <is>
          <t>corte absoluto mantido (D-1)</t>
        </is>
      </c>
    </row>
    <row r="11">
      <c r="A11" t="inlineStr">
        <is>
          <t>V17-2.3</t>
        </is>
      </c>
      <c r="B11" t="inlineStr">
        <is>
          <t>Eixo 2 — impacto (v2)</t>
        </is>
      </c>
      <c r="C11" t="n">
        <v>12</v>
      </c>
      <c r="D11" t="n">
        <v>3</v>
      </c>
      <c r="E11" t="inlineStr">
        <is>
          <t>Nível III</t>
        </is>
      </c>
      <c r="F11" t="inlineStr">
        <is>
          <t>corte absoluto mantido (D-1)</t>
        </is>
      </c>
    </row>
    <row r="12">
      <c r="A12" t="inlineStr">
        <is>
          <t>V17-2.4</t>
        </is>
      </c>
      <c r="B12" t="inlineStr">
        <is>
          <t>Eixo 2 — impacto (v2)</t>
        </is>
      </c>
      <c r="C12" t="n">
        <v>12</v>
      </c>
      <c r="D12" t="n">
        <v>4</v>
      </c>
      <c r="E12" t="inlineStr">
        <is>
          <t>Nível III</t>
        </is>
      </c>
      <c r="F12" t="inlineStr">
        <is>
          <t>corte absoluto mantido (D-1)</t>
        </is>
      </c>
    </row>
    <row r="13">
      <c r="A13" t="inlineStr">
        <is>
          <t>V17-2.5</t>
        </is>
      </c>
      <c r="B13" t="inlineStr">
        <is>
          <t>Eixo 2 — impacto (v2)</t>
        </is>
      </c>
      <c r="C13" t="n">
        <v>12</v>
      </c>
      <c r="D13" t="inlineStr">
        <is>
          <t>5+</t>
        </is>
      </c>
      <c r="E13" t="inlineStr">
        <is>
          <t>Nível IV</t>
        </is>
      </c>
      <c r="F13" t="inlineStr">
        <is>
          <t>corte absoluto mantido (D-1)</t>
        </is>
      </c>
    </row>
    <row r="14">
      <c r="A14" t="inlineStr">
        <is>
          <t>V17-3.0</t>
        </is>
      </c>
      <c r="B14" t="inlineStr">
        <is>
          <t>Eixo 3 — dados (v2)</t>
        </is>
      </c>
      <c r="C14" t="n">
        <v>13</v>
      </c>
      <c r="D14" t="n">
        <v>0</v>
      </c>
      <c r="E14" t="inlineStr">
        <is>
          <t>Nível I</t>
        </is>
      </c>
      <c r="F14" t="inlineStr">
        <is>
          <t>corte absoluto mantido (D-1)</t>
        </is>
      </c>
    </row>
    <row r="15">
      <c r="A15" t="inlineStr">
        <is>
          <t>V17-3.1</t>
        </is>
      </c>
      <c r="B15" t="inlineStr">
        <is>
          <t>Eixo 3 — dados (v2)</t>
        </is>
      </c>
      <c r="C15" t="n">
        <v>13</v>
      </c>
      <c r="D15" t="n">
        <v>1</v>
      </c>
      <c r="E15" t="inlineStr">
        <is>
          <t>Nível II</t>
        </is>
      </c>
      <c r="F15" t="inlineStr">
        <is>
          <t>corte absoluto mantido (D-1)</t>
        </is>
      </c>
    </row>
    <row r="16">
      <c r="A16" t="inlineStr">
        <is>
          <t>V17-3.2</t>
        </is>
      </c>
      <c r="B16" t="inlineStr">
        <is>
          <t>Eixo 3 — dados (v2)</t>
        </is>
      </c>
      <c r="C16" t="n">
        <v>13</v>
      </c>
      <c r="D16" t="n">
        <v>2</v>
      </c>
      <c r="E16" t="inlineStr">
        <is>
          <t>Nível II</t>
        </is>
      </c>
      <c r="F16" t="inlineStr">
        <is>
          <t>corte absoluto mantido (D-1)</t>
        </is>
      </c>
    </row>
    <row r="17">
      <c r="A17" t="inlineStr">
        <is>
          <t>V17-3.3</t>
        </is>
      </c>
      <c r="B17" t="inlineStr">
        <is>
          <t>Eixo 3 — dados (v2)</t>
        </is>
      </c>
      <c r="C17" t="n">
        <v>13</v>
      </c>
      <c r="D17" t="n">
        <v>3</v>
      </c>
      <c r="E17" t="inlineStr">
        <is>
          <t>Nível III</t>
        </is>
      </c>
      <c r="F17" t="inlineStr">
        <is>
          <t>corte absoluto mantido (D-1)</t>
        </is>
      </c>
    </row>
    <row r="18">
      <c r="A18" t="inlineStr">
        <is>
          <t>V17-3.4</t>
        </is>
      </c>
      <c r="B18" t="inlineStr">
        <is>
          <t>Eixo 3 — dados (v2)</t>
        </is>
      </c>
      <c r="C18" t="n">
        <v>13</v>
      </c>
      <c r="D18" t="n">
        <v>4</v>
      </c>
      <c r="E18" t="inlineStr">
        <is>
          <t>Nível III</t>
        </is>
      </c>
      <c r="F18" t="inlineStr">
        <is>
          <t>corte absoluto mantido (D-1)</t>
        </is>
      </c>
    </row>
    <row r="19">
      <c r="A19" t="inlineStr">
        <is>
          <t>V17-3.5</t>
        </is>
      </c>
      <c r="B19" t="inlineStr">
        <is>
          <t>Eixo 3 — dados (v2)</t>
        </is>
      </c>
      <c r="C19" t="n">
        <v>13</v>
      </c>
      <c r="D19" t="inlineStr">
        <is>
          <t>5+</t>
        </is>
      </c>
      <c r="E19" t="inlineStr">
        <is>
          <t>Nível IV</t>
        </is>
      </c>
      <c r="F19" t="inlineStr">
        <is>
          <t>corte absoluto mantido (D-1)</t>
        </is>
      </c>
    </row>
    <row r="20">
      <c r="A20" t="inlineStr">
        <is>
          <t>V17-4.0</t>
        </is>
      </c>
      <c r="B20" t="inlineStr">
        <is>
          <t>Eixo 4 — representatividade</t>
        </is>
      </c>
      <c r="C20" t="n">
        <v>8</v>
      </c>
      <c r="D20" t="n">
        <v>0</v>
      </c>
      <c r="E20" t="inlineStr">
        <is>
          <t>Nível I</t>
        </is>
      </c>
    </row>
    <row r="21">
      <c r="A21" t="inlineStr">
        <is>
          <t>V17-4.1</t>
        </is>
      </c>
      <c r="B21" t="inlineStr">
        <is>
          <t>Eixo 4 — representatividade</t>
        </is>
      </c>
      <c r="C21" t="n">
        <v>8</v>
      </c>
      <c r="D21" t="n">
        <v>1</v>
      </c>
      <c r="E21" t="inlineStr">
        <is>
          <t>Nível II</t>
        </is>
      </c>
    </row>
    <row r="22">
      <c r="A22" t="inlineStr">
        <is>
          <t>V17-4.2</t>
        </is>
      </c>
      <c r="B22" t="inlineStr">
        <is>
          <t>Eixo 4 — representatividade</t>
        </is>
      </c>
      <c r="C22" t="n">
        <v>8</v>
      </c>
      <c r="D22" t="n">
        <v>2</v>
      </c>
      <c r="E22" t="inlineStr">
        <is>
          <t>Nível II</t>
        </is>
      </c>
    </row>
    <row r="23">
      <c r="A23" t="inlineStr">
        <is>
          <t>V17-4.3</t>
        </is>
      </c>
      <c r="B23" t="inlineStr">
        <is>
          <t>Eixo 4 — representatividade</t>
        </is>
      </c>
      <c r="C23" t="n">
        <v>8</v>
      </c>
      <c r="D23" t="n">
        <v>3</v>
      </c>
      <c r="E23" t="inlineStr">
        <is>
          <t>Nível III</t>
        </is>
      </c>
    </row>
    <row r="24">
      <c r="A24" t="inlineStr">
        <is>
          <t>V17-4.4</t>
        </is>
      </c>
      <c r="B24" t="inlineStr">
        <is>
          <t>Eixo 4 — representatividade</t>
        </is>
      </c>
      <c r="C24" t="n">
        <v>8</v>
      </c>
      <c r="D24" t="n">
        <v>4</v>
      </c>
      <c r="E24" t="inlineStr">
        <is>
          <t>Nível III</t>
        </is>
      </c>
    </row>
    <row r="25">
      <c r="A25" t="inlineStr">
        <is>
          <t>V17-4.5</t>
        </is>
      </c>
      <c r="B25" t="inlineStr">
        <is>
          <t>Eixo 4 — representatividade</t>
        </is>
      </c>
      <c r="C25" t="n">
        <v>8</v>
      </c>
      <c r="D25" t="inlineStr">
        <is>
          <t>5+</t>
        </is>
      </c>
      <c r="E25" t="inlineStr">
        <is>
          <t>Nível IV</t>
        </is>
      </c>
    </row>
    <row r="26">
      <c r="A26" t="inlineStr">
        <is>
          <t>V17-5.0</t>
        </is>
      </c>
      <c r="B26" t="inlineStr">
        <is>
          <t>Eixo 5 — supervisão</t>
        </is>
      </c>
      <c r="C26" t="n">
        <v>8</v>
      </c>
      <c r="D26" t="n">
        <v>0</v>
      </c>
      <c r="E26" t="inlineStr">
        <is>
          <t>Nível I</t>
        </is>
      </c>
    </row>
    <row r="27">
      <c r="A27" t="inlineStr">
        <is>
          <t>V17-5.1</t>
        </is>
      </c>
      <c r="B27" t="inlineStr">
        <is>
          <t>Eixo 5 — supervisão</t>
        </is>
      </c>
      <c r="C27" t="n">
        <v>8</v>
      </c>
      <c r="D27" t="n">
        <v>1</v>
      </c>
      <c r="E27" t="inlineStr">
        <is>
          <t>Nível II</t>
        </is>
      </c>
    </row>
    <row r="28">
      <c r="A28" t="inlineStr">
        <is>
          <t>V17-5.2</t>
        </is>
      </c>
      <c r="B28" t="inlineStr">
        <is>
          <t>Eixo 5 — supervisão</t>
        </is>
      </c>
      <c r="C28" t="n">
        <v>8</v>
      </c>
      <c r="D28" t="n">
        <v>2</v>
      </c>
      <c r="E28" t="inlineStr">
        <is>
          <t>Nível II</t>
        </is>
      </c>
    </row>
    <row r="29">
      <c r="A29" t="inlineStr">
        <is>
          <t>V17-5.3</t>
        </is>
      </c>
      <c r="B29" t="inlineStr">
        <is>
          <t>Eixo 5 — supervisão</t>
        </is>
      </c>
      <c r="C29" t="n">
        <v>8</v>
      </c>
      <c r="D29" t="n">
        <v>3</v>
      </c>
      <c r="E29" t="inlineStr">
        <is>
          <t>Nível III</t>
        </is>
      </c>
    </row>
    <row r="30">
      <c r="A30" t="inlineStr">
        <is>
          <t>V17-5.4</t>
        </is>
      </c>
      <c r="B30" t="inlineStr">
        <is>
          <t>Eixo 5 — supervisão</t>
        </is>
      </c>
      <c r="C30" t="n">
        <v>8</v>
      </c>
      <c r="D30" t="n">
        <v>4</v>
      </c>
      <c r="E30" t="inlineStr">
        <is>
          <t>Nível III</t>
        </is>
      </c>
    </row>
    <row r="31">
      <c r="A31" t="inlineStr">
        <is>
          <t>V17-5.5</t>
        </is>
      </c>
      <c r="B31" t="inlineStr">
        <is>
          <t>Eixo 5 — supervisão</t>
        </is>
      </c>
      <c r="C31" t="n">
        <v>8</v>
      </c>
      <c r="D31" t="inlineStr">
        <is>
          <t>5+</t>
        </is>
      </c>
      <c r="E31" t="inlineStr">
        <is>
          <t>Nível IV</t>
        </is>
      </c>
    </row>
    <row r="32">
      <c r="A32" t="inlineStr">
        <is>
          <t>V17-3b.0</t>
        </is>
      </c>
      <c r="B32" t="inlineStr">
        <is>
          <t>Eixo 3.b (regra especial)</t>
        </is>
      </c>
      <c r="C32" t="n">
        <v>6</v>
      </c>
      <c r="D32" t="inlineStr">
        <is>
          <t>0</t>
        </is>
      </c>
      <c r="E32" t="inlineStr">
        <is>
          <t>não eleva o consolidado</t>
        </is>
      </c>
    </row>
    <row r="33">
      <c r="A33" t="inlineStr">
        <is>
          <t>V17-3b.1</t>
        </is>
      </c>
      <c r="B33" t="inlineStr">
        <is>
          <t>Eixo 3.b</t>
        </is>
      </c>
      <c r="C33" t="n">
        <v>6</v>
      </c>
      <c r="D33" t="inlineStr">
        <is>
          <t>1</t>
        </is>
      </c>
      <c r="E33" t="inlineStr">
        <is>
          <t>eleva para Nível III</t>
        </is>
      </c>
    </row>
    <row r="34">
      <c r="A34" t="inlineStr">
        <is>
          <t>V17-3b.2</t>
        </is>
      </c>
      <c r="B34" t="inlineStr">
        <is>
          <t>Eixo 3.b</t>
        </is>
      </c>
      <c r="C34" t="n">
        <v>6</v>
      </c>
      <c r="D34" t="inlineStr">
        <is>
          <t>2</t>
        </is>
      </c>
      <c r="E34" t="inlineStr">
        <is>
          <t>eleva para Nível III</t>
        </is>
      </c>
    </row>
    <row r="35">
      <c r="A35" t="inlineStr">
        <is>
          <t>V17-3b.3</t>
        </is>
      </c>
      <c r="B35" t="inlineStr">
        <is>
          <t>Eixo 3.b</t>
        </is>
      </c>
      <c r="C35" t="n">
        <v>6</v>
      </c>
      <c r="D35" t="inlineStr">
        <is>
          <t>3+</t>
        </is>
      </c>
      <c r="E35" t="inlineStr">
        <is>
          <t>eleva para Nível IV</t>
        </is>
      </c>
    </row>
    <row r="36">
      <c r="A36" t="inlineStr">
        <is>
          <t>V17-3b.5</t>
        </is>
      </c>
      <c r="B36" t="inlineStr">
        <is>
          <t>Eixo 3.b — 3.b.2 = 'Não'</t>
        </is>
      </c>
      <c r="D36" t="inlineStr">
        <is>
          <t>—</t>
        </is>
      </c>
      <c r="E36" t="inlineStr">
        <is>
          <t>não avaliável</t>
        </is>
      </c>
      <c r="F36" t="inlineStr">
        <is>
          <t>eliminatória (anuência ausente)</t>
        </is>
      </c>
    </row>
    <row r="37">
      <c r="A37" t="inlineStr">
        <is>
          <t>V17-3b.6</t>
        </is>
      </c>
      <c r="B37" t="inlineStr">
        <is>
          <t>Eixo 3.b — 3.b.4.1/3.b.7 falhas</t>
        </is>
      </c>
      <c r="D37" t="inlineStr">
        <is>
          <t>—</t>
        </is>
      </c>
      <c r="E37" t="inlineStr">
        <is>
          <t>não avaliável (devolução)</t>
        </is>
      </c>
      <c r="F37" t="inlineStr">
        <is>
          <t>diligências não contam como resposta de risco</t>
        </is>
      </c>
    </row>
    <row r="38">
      <c r="A38" t="inlineStr">
        <is>
          <t>V17-C.1</t>
        </is>
      </c>
      <c r="B38" t="inlineStr">
        <is>
          <t>Consolidação (regra do máximo)</t>
        </is>
      </c>
      <c r="D38" t="inlineStr">
        <is>
          <t>eixos {I, II, I, III, I}</t>
        </is>
      </c>
      <c r="E38" t="inlineStr">
        <is>
          <t>Nível III</t>
        </is>
      </c>
      <c r="F38" t="inlineStr">
        <is>
          <t>pior eixo prevalece</t>
        </is>
      </c>
    </row>
    <row r="39">
      <c r="A39" t="inlineStr">
        <is>
          <t>V17-C.2</t>
        </is>
      </c>
      <c r="B39" t="inlineStr">
        <is>
          <t>Consolidação</t>
        </is>
      </c>
      <c r="D39" t="inlineStr">
        <is>
          <t>qualquer eixo em IV</t>
        </is>
      </c>
      <c r="E39" t="inlineStr">
        <is>
          <t>Nível IV</t>
        </is>
      </c>
    </row>
    <row r="40">
      <c r="A40" t="inlineStr">
        <is>
          <t>V17-C.3</t>
        </is>
      </c>
      <c r="B40" t="inlineStr">
        <is>
          <t>Consolidação + 3.b</t>
        </is>
      </c>
      <c r="D40" t="inlineStr">
        <is>
          <t>3.b com 2 respostas, demais em I</t>
        </is>
      </c>
      <c r="E40" t="inlineStr">
        <is>
          <t>Nível III</t>
        </is>
      </c>
      <c r="F40" t="inlineStr">
        <is>
          <t>regra especial do 3.b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4" customWidth="1" min="3" max="3"/>
    <col width="40" customWidth="1" min="4" max="4"/>
    <col width="12" customWidth="1" min="5" max="5"/>
  </cols>
  <sheetData>
    <row r="1">
      <c r="A1" s="2" t="inlineStr">
        <is>
          <t>Elemento</t>
        </is>
      </c>
      <c r="B1" s="2" t="inlineStr">
        <is>
          <t>ID v1 (data.ts atual)</t>
        </is>
      </c>
      <c r="C1" s="2" t="inlineStr">
        <is>
          <t>ID v2 (spec)</t>
        </is>
      </c>
      <c r="D1" s="2" t="inlineStr">
        <is>
          <t>Resultado esperado</t>
        </is>
      </c>
      <c r="E1" s="2" t="inlineStr">
        <is>
          <t>Status</t>
        </is>
      </c>
    </row>
    <row r="2">
      <c r="A2" t="inlineStr">
        <is>
          <t>descritiva 1 (pergunta do sistema)</t>
        </is>
      </c>
      <c r="B2" t="inlineStr">
        <is>
          <t>contexto1</t>
        </is>
      </c>
      <c r="C2" t="inlineStr">
        <is>
          <t>C.1</t>
        </is>
      </c>
      <c r="D2" t="inlineStr">
        <is>
          <t>remapeado 1:1, sem reinterpretação</t>
        </is>
      </c>
      <c r="E2" t="inlineStr">
        <is>
          <t>PENDENTE</t>
        </is>
      </c>
    </row>
    <row r="3">
      <c r="A3" t="inlineStr">
        <is>
          <t>descritiva 2 (autonomia/subsídio)</t>
        </is>
      </c>
      <c r="B3" t="inlineStr">
        <is>
          <t>contexto2</t>
        </is>
      </c>
      <c r="C3" t="inlineStr">
        <is>
          <t>C.2</t>
        </is>
      </c>
      <c r="D3" t="inlineStr">
        <is>
          <t>remapeado 1:1, sem reinterpretação</t>
        </is>
      </c>
      <c r="E3" t="inlineStr">
        <is>
          <t>PENDENTE</t>
        </is>
      </c>
    </row>
    <row r="4">
      <c r="A4" t="inlineStr">
        <is>
          <t>itens Versão A</t>
        </is>
      </c>
      <c r="B4" t="inlineStr">
        <is>
          <t>1.1–5.8; 3.b.1–3.b.6</t>
        </is>
      </c>
      <c r="C4" t="inlineStr">
        <is>
          <t>idem + 2.11–2.12; 3.9–3.13; 3.b.4.1; 3.b.7</t>
        </is>
      </c>
      <c r="D4" t="inlineStr">
        <is>
          <t>antigos preservados; novos acrescentados</t>
        </is>
      </c>
      <c r="E4" t="inlineStr">
        <is>
          <t>PENDENTE</t>
        </is>
      </c>
    </row>
    <row r="5">
      <c r="A5" t="inlineStr">
        <is>
          <t>itens Versão B</t>
        </is>
      </c>
      <c r="B5" t="inlineStr">
        <is>
          <t>P1.1–P7.10</t>
        </is>
      </c>
      <c r="C5" t="inlineStr">
        <is>
          <t>idem + P5.10–P5.11; P6.9–P6.13; P6.b.4.1; P6.b.6–P6.b.7; P7.11–P7.14</t>
        </is>
      </c>
      <c r="D5" t="inlineStr">
        <is>
          <t>antigos preservados; novos acrescentados</t>
        </is>
      </c>
      <c r="E5" t="inlineStr">
        <is>
          <t>PENDENTE</t>
        </is>
      </c>
    </row>
    <row r="6">
      <c r="A6" t="inlineStr">
        <is>
          <t>avaliações em andamento</t>
        </is>
      </c>
      <c r="B6" t="inlineStr">
        <is>
          <t>localStorage 'maria-assessment-state'</t>
        </is>
      </c>
      <c r="C6" t="inlineStr">
        <is>
          <t>chave versionada (…-v2)</t>
        </is>
      </c>
      <c r="D6" t="inlineStr">
        <is>
          <t>nenhuma avaliação v1 recalculada sob v2</t>
        </is>
      </c>
      <c r="E6" t="inlineStr">
        <is>
          <t>PENDENTE</t>
        </is>
      </c>
    </row>
    <row r="7">
      <c r="A7" t="inlineStr">
        <is>
          <t>relatórios exportados</t>
        </is>
      </c>
      <c r="B7" t="inlineStr">
        <is>
          <t>sem carimbo</t>
        </is>
      </c>
      <c r="C7" t="inlineStr">
        <is>
          <t>carimbo de versão da matriz</t>
        </is>
      </c>
      <c r="D7" t="inlineStr">
        <is>
          <t>export v1 preserva classificação original</t>
        </is>
      </c>
      <c r="E7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2026-08-15T18:14:17Z</dcterms:created>
  <dcterms:modified xmlns:dcterms="http://purl.org/dc/terms/" xmlns:xsi="http://www.w3.org/2001/XMLSchema-instance" xsi:type="dcterms:W3CDTF">2026-08-20T13:07:34Z</dcterms:modified>
</cp:coreProperties>
</file>