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rotocolos" sheetId="2" state="visible" r:id="rId4"/>
    <sheet name="Versão A" sheetId="3" state="visible" r:id="rId5"/>
    <sheet name="Versão B" sheetId="4" state="visible" r:id="rId6"/>
    <sheet name="Triagem A↔B" sheetId="5" state="visible" r:id="rId7"/>
    <sheet name="Painel-resum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<sst xmlns="http://schemas.openxmlformats.org/spreadsheetml/2006/main" count="112" uniqueCount="104">
  <si>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Planilha-modelo · Apêndice F · Validação Local da MARIAH pelos CEPs</t>
  </si>
  <si>
    <t xml:space="preserve">Esta planilha automatiza o registro e o cálculo dos indicadores das três frentes de validação propostas no Apêndice F. Use-a no Microsoft Excel, no LibreOffice Calc ou no Google Sheets — não requer instalação de extensão estatística.</t>
  </si>
  <si>
    <t xml:space="preserve">Como usar:</t>
  </si>
  <si>
    <t xml:space="preserve">1. Aba «Protocolos» — cadastre cada protocolo com um identificador interno do CEP. Não registre dados que permitam identificar pesquisador, instituição proponente ou patrocinador. A planilha não pede esses dados.</t>
  </si>
  <si>
    <t xml:space="preserve">2. Aba «Versão A» — para cada protocolo aplicado em paralelo por dois avaliadores, registre a classificação consolidada de cada avaliador (I, II, III ou IV). A planilha calcula automaticamente o percentual de concordância e a estatística kappa de Cohen, com leitura sugerida.</t>
  </si>
  <si>
    <t xml:space="preserve">3. Aba «Versão B» — para cada protocolo avaliado pela Versão B, registre a pontuação por bloco. A planilha calcula a pontuação total e o nível resultante, e gera a distribuição da casuística do CEP nos quatro níveis.</t>
  </si>
  <si>
    <t xml:space="preserve">4. Aba «Triagem A↔B» — para os protocolos que passaram pelas duas versões no modo triagem, a planilha cruza as classificações automaticamente, produzindo a tabela de contingência 4x4.</t>
  </si>
  <si>
    <t xml:space="preserve">5. Aba «Painel-resumo» — consolida os indicadores das três frentes em um painel único, para uso em reunião plenária do CEP.</t>
  </si>
  <si>
    <t xml:space="preserve">Importante:</t>
  </si>
  <si>
    <t xml:space="preserve">· Os avaliadores devem registrar suas classificações de forma independente, antes de qualquer deliberação colegiada. Concordâncias muito altas em todos os eixos podem indicar deliberação prévia entre avaliadores, o que esvazia o exercício.</t>
  </si>
  <si>
    <t xml:space="preserve">· A planilha admite até 50 protocolos por frente. CEPs com volume maior podem duplicar a planilha por período de coleta.</t>
  </si>
  <si>
    <t xml:space="preserve">· Os cálculos são fórmulas Excel/Calc. Não delete células sombreadas (verde-claro). Edite apenas as células destacadas em amarelo-claro.</t>
  </si>
  <si>
    <t xml:space="preserve">· O retorno opcional ao Grupo de Trabalho é descrito na seção F.5 do apêndice. CEPs que optarem por compartilhar podem enviar a planilha completa ou apenas o painel-resumo.</t>
  </si>
  <si>
    <t xml:space="preserve">Cadastro de protocolos avaliados</t>
  </si>
  <si>
    <t xml:space="preserve">Preencha as colunas em amarelo. ID interno é livre (ex.: P-001). Não registre identificação de pesquisador, instituição ou patrocinador.</t>
  </si>
  <si>
    <t xml:space="preserve">ID interno</t>
  </si>
  <si>
    <t xml:space="preserve">Data submissão</t>
  </si>
  <si>
    <t xml:space="preserve">Descrição breve (uso de IA no protocolo)</t>
  </si>
  <si>
    <t xml:space="preserve">Foi avaliado pela Versão A?</t>
  </si>
  <si>
    <t xml:space="preserve">Foi avaliado pela Versão B?</t>
  </si>
  <si>
    <t xml:space="preserve">Versão A — Concordância entre avaliadores</t>
  </si>
  <si>
    <t xml:space="preserve">Para cada protocolo, registre a classificação consolidada do Avaliador 1 e do Avaliador 2 (I, II, III ou IV). A planilha calcula automaticamente, no painel à direita, o percentual de concordância e o kappa de Cohen.</t>
  </si>
  <si>
    <t xml:space="preserve">Avaliador 1 (I/II/III/IV)</t>
  </si>
  <si>
    <t xml:space="preserve">Avaliador 2 (I/II/III/IV)</t>
  </si>
  <si>
    <t xml:space="preserve">Concordam?</t>
  </si>
  <si>
    <t xml:space="preserve">Δ níveis</t>
  </si>
  <si>
    <t xml:space="preserve">Indicadores</t>
  </si>
  <si>
    <t xml:space="preserve">n de protocolos avaliados em par</t>
  </si>
  <si>
    <t xml:space="preserve">concordâncias (n)</t>
  </si>
  <si>
    <t xml:space="preserve">discordâncias (n)</t>
  </si>
  <si>
    <t xml:space="preserve">concordância observada (po)</t>
  </si>
  <si>
    <t xml:space="preserve">concordância esperada (pe, por chance)</t>
  </si>
  <si>
    <t xml:space="preserve">kappa de Cohen</t>
  </si>
  <si>
    <t xml:space="preserve">leitura sugerida</t>
  </si>
  <si>
    <t xml:space="preserve">Faixas de leitura segundo Landis &amp; Koch (1977).</t>
  </si>
  <si>
    <t xml:space="preserve">Versão B — Pontuação por bloco e distribuição</t>
  </si>
  <si>
    <t xml:space="preserve">Registre a pontuação obtida em cada bloco. Os pontos máximos por bloco (1, 2, 3, 4, 5, 6 e 7) são, respectivamente, 20, 30, 14, 8, 52, 50 e até +75 (bidirecional). Marque «Sim» na coluna «Usa banco de dados (Res 738)?» quando o protocolo envolver banco de dados — nesse caso, considere também o Bloco 6.b incorporado ao Bloco 6.</t>
  </si>
  <si>
    <t xml:space="preserve">Bloco 1</t>
  </si>
  <si>
    <t xml:space="preserve">Bloco 2</t>
  </si>
  <si>
    <t xml:space="preserve">Bloco 3</t>
  </si>
  <si>
    <t xml:space="preserve">Bloco 4</t>
  </si>
  <si>
    <t xml:space="preserve">Bloco 5</t>
  </si>
  <si>
    <t xml:space="preserve">Bloco 6</t>
  </si>
  <si>
    <t xml:space="preserve">Bloco 7 (líq)</t>
  </si>
  <si>
    <t xml:space="preserve">Usa BD?</t>
  </si>
  <si>
    <t xml:space="preserve">Total</t>
  </si>
  <si>
    <t xml:space="preserve">Nível</t>
  </si>
  <si>
    <t xml:space="preserve">Distribuição nos níveis</t>
  </si>
  <si>
    <t xml:space="preserve">n</t>
  </si>
  <si>
    <t xml:space="preserve">%</t>
  </si>
  <si>
    <t xml:space="preserve">I</t>
  </si>
  <si>
    <t xml:space="preserve">II</t>
  </si>
  <si>
    <t xml:space="preserve">III</t>
  </si>
  <si>
    <t xml:space="preserve">IV</t>
  </si>
  <si>
    <t xml:space="preserve">Estatísticas da pontuação total</t>
  </si>
  <si>
    <t xml:space="preserve">Mediana</t>
  </si>
  <si>
    <t xml:space="preserve">Média</t>
  </si>
  <si>
    <t xml:space="preserve">Desvio-padrão</t>
  </si>
  <si>
    <t xml:space="preserve">Mínimo</t>
  </si>
  <si>
    <t xml:space="preserve">Máximo</t>
  </si>
  <si>
    <t xml:space="preserve">Triagem A↔B — Convergência entre as duas versões</t>
  </si>
  <si>
    <t xml:space="preserve">Para protocolos avaliados pelas duas versões, a planilha lê automaticamente as classificações da Versão A (coluna B) e da Versão B (coluna K da aba «Versão B») e produz a tabela de contingência 4x4 abaixo.</t>
  </si>
  <si>
    <t xml:space="preserve">Versão A (consolidada)</t>
  </si>
  <si>
    <t xml:space="preserve">Versão B (nível)</t>
  </si>
  <si>
    <t xml:space="preserve">Convergem?</t>
  </si>
  <si>
    <t xml:space="preserve">Tabela de contingência (linhas = Versão A · colunas = Versão B)</t>
  </si>
  <si>
    <t xml:space="preserve">Versão B I</t>
  </si>
  <si>
    <t xml:space="preserve">Versão B II</t>
  </si>
  <si>
    <t xml:space="preserve">Versão B III</t>
  </si>
  <si>
    <t xml:space="preserve">Versão B IV</t>
  </si>
  <si>
    <t xml:space="preserve">Versão A I</t>
  </si>
  <si>
    <t xml:space="preserve">Versão A II</t>
  </si>
  <si>
    <t xml:space="preserve">Versão A III</t>
  </si>
  <si>
    <t xml:space="preserve">Versão A IV</t>
  </si>
  <si>
    <t xml:space="preserve">Indicador</t>
  </si>
  <si>
    <t xml:space="preserve">Valor</t>
  </si>
  <si>
    <t xml:space="preserve">n pares (A e B preenchidos)</t>
  </si>
  <si>
    <t xml:space="preserve">convergências (n)</t>
  </si>
  <si>
    <t xml:space="preserve">% convergência</t>
  </si>
  <si>
    <t xml:space="preserve">Painel-resumo das três frentes de validação</t>
  </si>
  <si>
    <t xml:space="preserve">Este painel consolida os indicadores das três frentes. Use-o como ponto de partida da reunião plenária do CEP que discutir os achados da validação local da MARIAH. CEPs que optarem por compartilhar resultados com o Grupo de Trabalho podem enviar somente este painel, sem prejuízo de detalhamento posterior.</t>
  </si>
  <si>
    <t xml:space="preserve">Frente 1 — Concordância entre avaliadores na Versão A</t>
  </si>
  <si>
    <t xml:space="preserve">% de concordância observada</t>
  </si>
  <si>
    <t xml:space="preserve">&lt;0,40 Insuficiente · 0,40–0,60 Moderada · 0,60–0,80 Substancial · ≥0,80 Quase perfeita</t>
  </si>
  <si>
    <t xml:space="preserve">Frente 2 — Distribuição empírica da casuística (Versão B)</t>
  </si>
  <si>
    <t xml:space="preserve">n de protocolos com Versão B aplicada</t>
  </si>
  <si>
    <t xml:space="preserve">% no Nível I (baixo)</t>
  </si>
  <si>
    <t xml:space="preserve">% no Nível II (moderado)</t>
  </si>
  <si>
    <t xml:space="preserve">% no Nível III (alto)</t>
  </si>
  <si>
    <t xml:space="preserve">% no Nível IV (crítico)</t>
  </si>
  <si>
    <t xml:space="preserve">mediana da pontuação total</t>
  </si>
  <si>
    <t xml:space="preserve">amplitude (mínimo–máximo)</t>
  </si>
  <si>
    <t xml:space="preserve">Frente 3 — Convergência entre Versões A e B (modo triagem)</t>
  </si>
  <si>
    <t xml:space="preserve">n pares avaliados pelas duas versões</t>
  </si>
  <si>
    <t xml:space="preserve">n de convergências</t>
  </si>
  <si>
    <t xml:space="preserve">% de convergência</t>
  </si>
  <si>
    <t xml:space="preserve">&gt;80% Convergência alta · 60–80% Convergência média · &lt;60% Examinar discordâncias</t>
  </si>
  <si>
    <t xml:space="preserve">Para discussão em reunião plenária do CEP</t>
  </si>
  <si>
    <t xml:space="preserve">· Onde se concentram as discordâncias entre os avaliadores na Versão A? Em quais eixos?</t>
  </si>
  <si>
    <t xml:space="preserve">· A distribuição da casuística sugere concentração próxima a algum ponto de corte? Há protocolos no Nível IV?</t>
  </si>
  <si>
    <t xml:space="preserve">· Quando A e B divergem, há padrão (por exemplo, A=II e B=III)? O que esse padrão diz sobre a leitura local da matriz?</t>
  </si>
  <si>
    <t xml:space="preserve">· Há perguntas da matriz que os avaliadores leem de modo sistematicamente diferente? Vale rever a redação localmente?</t>
  </si>
  <si>
    <t xml:space="preserve">· Os achados sugerem ajustes na capacitação interna do CEP? Em quais temas?</t>
  </si>
  <si>
    <t xml:space="preserve">· O colegiado deseja compartilhar os achados com o Grupo de Trabalho? Que formato (planilha completa, só este painel, nota narrativa)?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</si>
</sst>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D5E8F0"/>
        <bgColor rgb="FFE2EFDA"/>
      </patternFill>
    </fill>
    <fill>
      <patternFill patternType="solid">
        <fgColor rgb="FFE2EFDA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</row>
    <row r="7" customFormat="false" ht="26.8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/>
    </row>
    <row r="9" customFormat="false" ht="39.55" hidden="false" customHeight="false" outlineLevel="0" collapsed="false">
      <c r="A9" s="2" t="s">
        <v>4</v>
      </c>
    </row>
    <row r="10" customFormat="false" ht="15" hidden="false" customHeight="false" outlineLevel="0" collapsed="false">
      <c r="A10" s="2"/>
    </row>
    <row r="11" customFormat="false" ht="26.85" hidden="false" customHeight="false" outlineLevel="0" collapsed="false">
      <c r="A11" s="2" t="s">
        <v>5</v>
      </c>
    </row>
    <row r="12" customFormat="false" ht="15" hidden="false" customHeight="false" outlineLevel="0" collapsed="false">
      <c r="A12" s="2"/>
    </row>
    <row r="13" customFormat="false" ht="26.85" hidden="false" customHeight="false" outlineLevel="0" collapsed="false">
      <c r="A13" s="2" t="s">
        <v>6</v>
      </c>
    </row>
    <row r="14" customFormat="false" ht="15" hidden="false" customHeight="false" outlineLevel="0" collapsed="false">
      <c r="A14" s="2"/>
    </row>
    <row r="15" customFormat="false" ht="26.85" hidden="false" customHeight="false" outlineLevel="0" collapsed="false">
      <c r="A15" s="2" t="s">
        <v>7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8</v>
      </c>
    </row>
    <row r="18" customFormat="false" ht="15" hidden="false" customHeight="false" outlineLevel="0" collapsed="false">
      <c r="A18" s="2"/>
    </row>
    <row r="19" customFormat="false" ht="39.55" hidden="false" customHeight="false" outlineLevel="0" collapsed="false">
      <c r="A19" s="2" t="s">
        <v>9</v>
      </c>
    </row>
    <row r="20" customFormat="false" ht="15" hidden="false" customHeight="false" outlineLevel="0" collapsed="false">
      <c r="A20" s="2"/>
    </row>
    <row r="21" customFormat="false" ht="26.85" hidden="false" customHeight="false" outlineLevel="0" collapsed="false">
      <c r="A21" s="2" t="s">
        <v>10</v>
      </c>
    </row>
    <row r="22" customFormat="false" ht="15" hidden="false" customHeight="false" outlineLevel="0" collapsed="false">
      <c r="A22" s="2"/>
    </row>
    <row r="23" customFormat="false" ht="26.85" hidden="false" customHeight="false" outlineLevel="0" collapsed="false">
      <c r="A23" s="2" t="s">
        <v>11</v>
      </c>
    </row>
    <row r="24" customFormat="false" ht="15" hidden="false" customHeight="false" outlineLevel="0" collapsed="false">
      <c r="A24" s="2"/>
    </row>
    <row r="25" customFormat="false" ht="26.85" hidden="false" customHeight="false" outlineLevel="0" collapsed="false">
      <c r="A2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60"/>
    <col collapsed="false" customWidth="true" hidden="false" outlineLevel="0" max="5" min="4" style="0" width="22"/>
  </cols>
  <sheetData>
    <row r="1" customFormat="false" ht="27.75" hidden="false" customHeight="true" outlineLevel="0" collapsed="false">
      <c r="A1" s="4" t="s">
        <v>13</v>
      </c>
      <c r="B1" s="4"/>
      <c r="C1" s="4"/>
      <c r="D1" s="4"/>
      <c r="E1" s="4"/>
    </row>
    <row r="2" customFormat="false" ht="27.75" hidden="false" customHeight="true" outlineLevel="0" collapsed="false">
      <c r="A2" s="5" t="s">
        <v>14</v>
      </c>
      <c r="B2" s="5"/>
      <c r="C2" s="5"/>
      <c r="D2" s="5"/>
      <c r="E2" s="5"/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</row>
    <row r="4" customFormat="false" ht="15" hidden="false" customHeight="false" outlineLevel="0" collapsed="false">
      <c r="A4" s="7"/>
      <c r="B4" s="7"/>
      <c r="C4" s="8"/>
      <c r="D4" s="7"/>
      <c r="E4" s="7"/>
    </row>
    <row r="5" customFormat="false" ht="15" hidden="false" customHeight="false" outlineLevel="0" collapsed="false">
      <c r="A5" s="7"/>
      <c r="B5" s="7"/>
      <c r="C5" s="8"/>
      <c r="D5" s="7"/>
      <c r="E5" s="7"/>
    </row>
    <row r="6" customFormat="false" ht="15" hidden="false" customHeight="false" outlineLevel="0" collapsed="false">
      <c r="A6" s="7"/>
      <c r="B6" s="7"/>
      <c r="C6" s="8"/>
      <c r="D6" s="7"/>
      <c r="E6" s="7"/>
    </row>
    <row r="7" customFormat="false" ht="15" hidden="false" customHeight="false" outlineLevel="0" collapsed="false">
      <c r="A7" s="7"/>
      <c r="B7" s="7"/>
      <c r="C7" s="8"/>
      <c r="D7" s="7"/>
      <c r="E7" s="7"/>
    </row>
    <row r="8" customFormat="false" ht="15" hidden="false" customHeight="false" outlineLevel="0" collapsed="false">
      <c r="A8" s="7"/>
      <c r="B8" s="7"/>
      <c r="C8" s="8"/>
      <c r="D8" s="7"/>
      <c r="E8" s="7"/>
    </row>
    <row r="9" customFormat="false" ht="15" hidden="false" customHeight="false" outlineLevel="0" collapsed="false">
      <c r="A9" s="7"/>
      <c r="B9" s="7"/>
      <c r="C9" s="8"/>
      <c r="D9" s="7"/>
      <c r="E9" s="7"/>
    </row>
    <row r="10" customFormat="false" ht="15" hidden="false" customHeight="false" outlineLevel="0" collapsed="false">
      <c r="A10" s="7"/>
      <c r="B10" s="7"/>
      <c r="C10" s="8"/>
      <c r="D10" s="7"/>
      <c r="E10" s="7"/>
    </row>
    <row r="11" customFormat="false" ht="15" hidden="false" customHeight="false" outlineLevel="0" collapsed="false">
      <c r="A11" s="7"/>
      <c r="B11" s="7"/>
      <c r="C11" s="8"/>
      <c r="D11" s="7"/>
      <c r="E11" s="7"/>
    </row>
    <row r="12" customFormat="false" ht="15" hidden="false" customHeight="false" outlineLevel="0" collapsed="false">
      <c r="A12" s="7"/>
      <c r="B12" s="7"/>
      <c r="C12" s="8"/>
      <c r="D12" s="7"/>
      <c r="E12" s="7"/>
    </row>
    <row r="13" customFormat="false" ht="15" hidden="false" customHeight="false" outlineLevel="0" collapsed="false">
      <c r="A13" s="7"/>
      <c r="B13" s="7"/>
      <c r="C13" s="8"/>
      <c r="D13" s="7"/>
      <c r="E13" s="7"/>
    </row>
    <row r="14" customFormat="false" ht="15" hidden="false" customHeight="false" outlineLevel="0" collapsed="false">
      <c r="A14" s="7"/>
      <c r="B14" s="7"/>
      <c r="C14" s="8"/>
      <c r="D14" s="7"/>
      <c r="E14" s="7"/>
    </row>
    <row r="15" customFormat="false" ht="15" hidden="false" customHeight="false" outlineLevel="0" collapsed="false">
      <c r="A15" s="7"/>
      <c r="B15" s="7"/>
      <c r="C15" s="8"/>
      <c r="D15" s="7"/>
      <c r="E15" s="7"/>
    </row>
    <row r="16" customFormat="false" ht="15" hidden="false" customHeight="false" outlineLevel="0" collapsed="false">
      <c r="A16" s="7"/>
      <c r="B16" s="7"/>
      <c r="C16" s="8"/>
      <c r="D16" s="7"/>
      <c r="E16" s="7"/>
    </row>
    <row r="17" customFormat="false" ht="15" hidden="false" customHeight="false" outlineLevel="0" collapsed="false">
      <c r="A17" s="7"/>
      <c r="B17" s="7"/>
      <c r="C17" s="8"/>
      <c r="D17" s="7"/>
      <c r="E17" s="7"/>
    </row>
    <row r="18" customFormat="false" ht="15" hidden="false" customHeight="false" outlineLevel="0" collapsed="false">
      <c r="A18" s="7"/>
      <c r="B18" s="7"/>
      <c r="C18" s="8"/>
      <c r="D18" s="7"/>
      <c r="E18" s="7"/>
    </row>
    <row r="19" customFormat="false" ht="15" hidden="false" customHeight="false" outlineLevel="0" collapsed="false">
      <c r="A19" s="7"/>
      <c r="B19" s="7"/>
      <c r="C19" s="8"/>
      <c r="D19" s="7"/>
      <c r="E19" s="7"/>
    </row>
    <row r="20" customFormat="false" ht="15" hidden="false" customHeight="false" outlineLevel="0" collapsed="false">
      <c r="A20" s="7"/>
      <c r="B20" s="7"/>
      <c r="C20" s="8"/>
      <c r="D20" s="7"/>
      <c r="E20" s="7"/>
    </row>
    <row r="21" customFormat="false" ht="15" hidden="false" customHeight="false" outlineLevel="0" collapsed="false">
      <c r="A21" s="7"/>
      <c r="B21" s="7"/>
      <c r="C21" s="8"/>
      <c r="D21" s="7"/>
      <c r="E21" s="7"/>
    </row>
    <row r="22" customFormat="false" ht="15" hidden="false" customHeight="false" outlineLevel="0" collapsed="false">
      <c r="A22" s="7"/>
      <c r="B22" s="7"/>
      <c r="C22" s="8"/>
      <c r="D22" s="7"/>
      <c r="E22" s="7"/>
    </row>
    <row r="23" customFormat="false" ht="15" hidden="false" customHeight="false" outlineLevel="0" collapsed="false">
      <c r="A23" s="7"/>
      <c r="B23" s="7"/>
      <c r="C23" s="8"/>
      <c r="D23" s="7"/>
      <c r="E23" s="7"/>
    </row>
    <row r="24" customFormat="false" ht="15" hidden="false" customHeight="false" outlineLevel="0" collapsed="false">
      <c r="A24" s="7"/>
      <c r="B24" s="7"/>
      <c r="C24" s="8"/>
      <c r="D24" s="7"/>
      <c r="E24" s="7"/>
    </row>
    <row r="25" customFormat="false" ht="15" hidden="false" customHeight="false" outlineLevel="0" collapsed="false">
      <c r="A25" s="7"/>
      <c r="B25" s="7"/>
      <c r="C25" s="8"/>
      <c r="D25" s="7"/>
      <c r="E25" s="7"/>
    </row>
    <row r="26" customFormat="false" ht="15" hidden="false" customHeight="false" outlineLevel="0" collapsed="false">
      <c r="A26" s="7"/>
      <c r="B26" s="7"/>
      <c r="C26" s="8"/>
      <c r="D26" s="7"/>
      <c r="E26" s="7"/>
    </row>
    <row r="27" customFormat="false" ht="15" hidden="false" customHeight="false" outlineLevel="0" collapsed="false">
      <c r="A27" s="7"/>
      <c r="B27" s="7"/>
      <c r="C27" s="8"/>
      <c r="D27" s="7"/>
      <c r="E27" s="7"/>
    </row>
    <row r="28" customFormat="false" ht="15" hidden="false" customHeight="false" outlineLevel="0" collapsed="false">
      <c r="A28" s="7"/>
      <c r="B28" s="7"/>
      <c r="C28" s="8"/>
      <c r="D28" s="7"/>
      <c r="E28" s="7"/>
    </row>
    <row r="29" customFormat="false" ht="15" hidden="false" customHeight="false" outlineLevel="0" collapsed="false">
      <c r="A29" s="7"/>
      <c r="B29" s="7"/>
      <c r="C29" s="8"/>
      <c r="D29" s="7"/>
      <c r="E29" s="7"/>
    </row>
    <row r="30" customFormat="false" ht="15" hidden="false" customHeight="false" outlineLevel="0" collapsed="false">
      <c r="A30" s="7"/>
      <c r="B30" s="7"/>
      <c r="C30" s="8"/>
      <c r="D30" s="7"/>
      <c r="E30" s="7"/>
    </row>
    <row r="31" customFormat="false" ht="15" hidden="false" customHeight="false" outlineLevel="0" collapsed="false">
      <c r="A31" s="7"/>
      <c r="B31" s="7"/>
      <c r="C31" s="8"/>
      <c r="D31" s="7"/>
      <c r="E31" s="7"/>
    </row>
    <row r="32" customFormat="false" ht="15" hidden="false" customHeight="false" outlineLevel="0" collapsed="false">
      <c r="A32" s="7"/>
      <c r="B32" s="7"/>
      <c r="C32" s="8"/>
      <c r="D32" s="7"/>
      <c r="E32" s="7"/>
    </row>
    <row r="33" customFormat="false" ht="15" hidden="false" customHeight="false" outlineLevel="0" collapsed="false">
      <c r="A33" s="7"/>
      <c r="B33" s="7"/>
      <c r="C33" s="8"/>
      <c r="D33" s="7"/>
      <c r="E33" s="7"/>
    </row>
    <row r="34" customFormat="false" ht="15" hidden="false" customHeight="false" outlineLevel="0" collapsed="false">
      <c r="A34" s="7"/>
      <c r="B34" s="7"/>
      <c r="C34" s="8"/>
      <c r="D34" s="7"/>
      <c r="E34" s="7"/>
    </row>
    <row r="35" customFormat="false" ht="15" hidden="false" customHeight="false" outlineLevel="0" collapsed="false">
      <c r="A35" s="7"/>
      <c r="B35" s="7"/>
      <c r="C35" s="8"/>
      <c r="D35" s="7"/>
      <c r="E35" s="7"/>
    </row>
    <row r="36" customFormat="false" ht="15" hidden="false" customHeight="false" outlineLevel="0" collapsed="false">
      <c r="A36" s="7"/>
      <c r="B36" s="7"/>
      <c r="C36" s="8"/>
      <c r="D36" s="7"/>
      <c r="E36" s="7"/>
    </row>
    <row r="37" customFormat="false" ht="15" hidden="false" customHeight="false" outlineLevel="0" collapsed="false">
      <c r="A37" s="7"/>
      <c r="B37" s="7"/>
      <c r="C37" s="8"/>
      <c r="D37" s="7"/>
      <c r="E37" s="7"/>
    </row>
    <row r="38" customFormat="false" ht="15" hidden="false" customHeight="false" outlineLevel="0" collapsed="false">
      <c r="A38" s="7"/>
      <c r="B38" s="7"/>
      <c r="C38" s="8"/>
      <c r="D38" s="7"/>
      <c r="E38" s="7"/>
    </row>
    <row r="39" customFormat="false" ht="15" hidden="false" customHeight="false" outlineLevel="0" collapsed="false">
      <c r="A39" s="7"/>
      <c r="B39" s="7"/>
      <c r="C39" s="8"/>
      <c r="D39" s="7"/>
      <c r="E39" s="7"/>
    </row>
    <row r="40" customFormat="false" ht="15" hidden="false" customHeight="false" outlineLevel="0" collapsed="false">
      <c r="A40" s="7"/>
      <c r="B40" s="7"/>
      <c r="C40" s="8"/>
      <c r="D40" s="7"/>
      <c r="E40" s="7"/>
    </row>
    <row r="41" customFormat="false" ht="15" hidden="false" customHeight="false" outlineLevel="0" collapsed="false">
      <c r="A41" s="7"/>
      <c r="B41" s="7"/>
      <c r="C41" s="8"/>
      <c r="D41" s="7"/>
      <c r="E41" s="7"/>
    </row>
    <row r="42" customFormat="false" ht="15" hidden="false" customHeight="false" outlineLevel="0" collapsed="false">
      <c r="A42" s="7"/>
      <c r="B42" s="7"/>
      <c r="C42" s="8"/>
      <c r="D42" s="7"/>
      <c r="E42" s="7"/>
    </row>
    <row r="43" customFormat="false" ht="15" hidden="false" customHeight="false" outlineLevel="0" collapsed="false">
      <c r="A43" s="7"/>
      <c r="B43" s="7"/>
      <c r="C43" s="8"/>
      <c r="D43" s="7"/>
      <c r="E43" s="7"/>
    </row>
    <row r="44" customFormat="false" ht="15" hidden="false" customHeight="false" outlineLevel="0" collapsed="false">
      <c r="A44" s="7"/>
      <c r="B44" s="7"/>
      <c r="C44" s="8"/>
      <c r="D44" s="7"/>
      <c r="E44" s="7"/>
    </row>
    <row r="45" customFormat="false" ht="15" hidden="false" customHeight="false" outlineLevel="0" collapsed="false">
      <c r="A45" s="7"/>
      <c r="B45" s="7"/>
      <c r="C45" s="8"/>
      <c r="D45" s="7"/>
      <c r="E45" s="7"/>
    </row>
    <row r="46" customFormat="false" ht="15" hidden="false" customHeight="false" outlineLevel="0" collapsed="false">
      <c r="A46" s="7"/>
      <c r="B46" s="7"/>
      <c r="C46" s="8"/>
      <c r="D46" s="7"/>
      <c r="E46" s="7"/>
    </row>
    <row r="47" customFormat="false" ht="15" hidden="false" customHeight="false" outlineLevel="0" collapsed="false">
      <c r="A47" s="7"/>
      <c r="B47" s="7"/>
      <c r="C47" s="8"/>
      <c r="D47" s="7"/>
      <c r="E47" s="7"/>
    </row>
    <row r="48" customFormat="false" ht="15" hidden="false" customHeight="false" outlineLevel="0" collapsed="false">
      <c r="A48" s="7"/>
      <c r="B48" s="7"/>
      <c r="C48" s="8"/>
      <c r="D48" s="7"/>
      <c r="E48" s="7"/>
    </row>
    <row r="49" customFormat="false" ht="15" hidden="false" customHeight="false" outlineLevel="0" collapsed="false">
      <c r="A49" s="7"/>
      <c r="B49" s="7"/>
      <c r="C49" s="8"/>
      <c r="D49" s="7"/>
      <c r="E49" s="7"/>
    </row>
    <row r="50" customFormat="false" ht="15" hidden="false" customHeight="false" outlineLevel="0" collapsed="false">
      <c r="A50" s="7"/>
      <c r="B50" s="7"/>
      <c r="C50" s="8"/>
      <c r="D50" s="7"/>
      <c r="E50" s="7"/>
    </row>
    <row r="51" customFormat="false" ht="15" hidden="false" customHeight="false" outlineLevel="0" collapsed="false">
      <c r="A51" s="7"/>
      <c r="B51" s="7"/>
      <c r="C51" s="8"/>
      <c r="D51" s="7"/>
      <c r="E51" s="7"/>
    </row>
    <row r="52" customFormat="false" ht="15" hidden="false" customHeight="false" outlineLevel="0" collapsed="false">
      <c r="A52" s="7"/>
      <c r="B52" s="7"/>
      <c r="C52" s="8"/>
      <c r="D52" s="7"/>
      <c r="E52" s="7"/>
    </row>
    <row r="53" customFormat="false" ht="15" hidden="false" customHeight="false" outlineLevel="0" collapsed="false">
      <c r="A53" s="7"/>
      <c r="B53" s="7"/>
      <c r="C53" s="8"/>
      <c r="D53" s="7"/>
      <c r="E53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7" min="7" style="0" width="3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4" t="s">
        <v>20</v>
      </c>
      <c r="B1" s="4"/>
      <c r="C1" s="4"/>
      <c r="D1" s="4"/>
      <c r="E1" s="4"/>
    </row>
    <row r="2" customFormat="false" ht="36" hidden="false" customHeight="true" outlineLevel="0" collapsed="false">
      <c r="A2" s="9" t="s">
        <v>21</v>
      </c>
      <c r="B2" s="9"/>
      <c r="C2" s="9"/>
      <c r="D2" s="9"/>
      <c r="E2" s="9"/>
    </row>
    <row r="3" customFormat="false" ht="15" hidden="false" customHeight="false" outlineLevel="0" collapsed="false">
      <c r="A3" s="6" t="s">
        <v>15</v>
      </c>
      <c r="B3" s="6" t="s">
        <v>22</v>
      </c>
      <c r="C3" s="6" t="s">
        <v>23</v>
      </c>
      <c r="D3" s="6" t="s">
        <v>24</v>
      </c>
      <c r="E3" s="6" t="s">
        <v>25</v>
      </c>
      <c r="G3" s="10" t="s">
        <v>26</v>
      </c>
      <c r="H3" s="10"/>
    </row>
    <row r="4" customFormat="false" ht="15" hidden="false" customHeight="false" outlineLevel="0" collapsed="false">
      <c r="A4" s="7" t="str">
        <f aca="false">IF(Protocolos!A4="","",Protocolos!A4)</f>
        <v/>
      </c>
      <c r="B4" s="11"/>
      <c r="C4" s="11"/>
      <c r="D4" s="7" t="str">
        <f aca="false">IF(OR(B4="",C4=""),"",IF(B4=C4,"Sim","Não"))</f>
        <v/>
      </c>
      <c r="E4" s="7" t="str">
        <f aca="false">IF(OR(B4="",C4=""),"",ABS(MATCH(B4,{"I","II","III","IV"},0)-MATCH(C4,{"I","II","III","IV"},0)))</f>
        <v/>
      </c>
      <c r="G4" s="12" t="s">
        <v>27</v>
      </c>
      <c r="H4" s="7" t="n">
        <f aca="false">COUNTIFS(B4:B53,"&lt;&gt;",C4:C53,"&lt;&gt;")</f>
        <v>0</v>
      </c>
    </row>
    <row r="5" customFormat="false" ht="15" hidden="false" customHeight="false" outlineLevel="0" collapsed="false">
      <c r="A5" s="7" t="str">
        <f aca="false">IF(Protocolos!A5="","",Protocolos!A5)</f>
        <v/>
      </c>
      <c r="B5" s="11"/>
      <c r="C5" s="11"/>
      <c r="D5" s="7" t="str">
        <f aca="false">IF(OR(B5="",C5=""),"",IF(B5=C5,"Sim","Não"))</f>
        <v/>
      </c>
      <c r="E5" s="7" t="str">
        <f aca="false">IF(OR(B5="",C5=""),"",ABS(MATCH(B5,{"I","II","III","IV"},0)-MATCH(C5,{"I","II","III","IV"},0)))</f>
        <v/>
      </c>
      <c r="G5" s="12" t="s">
        <v>28</v>
      </c>
      <c r="H5" s="7" t="n">
        <f aca="false">COUNTIF(D4:D53,"Sim")</f>
        <v>0</v>
      </c>
    </row>
    <row r="6" customFormat="false" ht="15" hidden="false" customHeight="false" outlineLevel="0" collapsed="false">
      <c r="A6" s="7" t="str">
        <f aca="false">IF(Protocolos!A6="","",Protocolos!A6)</f>
        <v/>
      </c>
      <c r="B6" s="11"/>
      <c r="C6" s="11"/>
      <c r="D6" s="7" t="str">
        <f aca="false">IF(OR(B6="",C6=""),"",IF(B6=C6,"Sim","Não"))</f>
        <v/>
      </c>
      <c r="E6" s="7" t="str">
        <f aca="false">IF(OR(B6="",C6=""),"",ABS(MATCH(B6,{"I","II","III","IV"},0)-MATCH(C6,{"I","II","III","IV"},0)))</f>
        <v/>
      </c>
      <c r="G6" s="12" t="s">
        <v>29</v>
      </c>
      <c r="H6" s="7" t="n">
        <f aca="false">COUNTIF(D4:D53,"Não")</f>
        <v>0</v>
      </c>
    </row>
    <row r="7" customFormat="false" ht="15" hidden="false" customHeight="false" outlineLevel="0" collapsed="false">
      <c r="A7" s="7" t="str">
        <f aca="false">IF(Protocolos!A7="","",Protocolos!A7)</f>
        <v/>
      </c>
      <c r="B7" s="11"/>
      <c r="C7" s="11"/>
      <c r="D7" s="7" t="str">
        <f aca="false">IF(OR(B7="",C7=""),"",IF(B7=C7,"Sim","Não"))</f>
        <v/>
      </c>
      <c r="E7" s="7" t="str">
        <f aca="false">IF(OR(B7="",C7=""),"",ABS(MATCH(B7,{"I","II","III","IV"},0)-MATCH(C7,{"I","II","III","IV"},0)))</f>
        <v/>
      </c>
      <c r="G7" s="12" t="s">
        <v>30</v>
      </c>
      <c r="H7" s="13" t="str">
        <f aca="false">IF(H4=0,"",H5/H4)</f>
        <v/>
      </c>
    </row>
    <row r="8" customFormat="false" ht="15" hidden="false" customHeight="false" outlineLevel="0" collapsed="false">
      <c r="A8" s="7" t="str">
        <f aca="false">IF(Protocolos!A8="","",Protocolos!A8)</f>
        <v/>
      </c>
      <c r="B8" s="11"/>
      <c r="C8" s="11"/>
      <c r="D8" s="7" t="str">
        <f aca="false">IF(OR(B8="",C8=""),"",IF(B8=C8,"Sim","Não"))</f>
        <v/>
      </c>
      <c r="E8" s="7" t="str">
        <f aca="false">IF(OR(B8="",C8=""),"",ABS(MATCH(B8,{"I","II","III","IV"},0)-MATCH(C8,{"I","II","III","IV"},0)))</f>
        <v/>
      </c>
      <c r="G8" s="12" t="s">
        <v>31</v>
      </c>
      <c r="H8" s="13" t="str">
        <f aca="false">IF(H4=0,"",(COUNTIF(B4:B53,"I")*COUNTIF(C4:C53,"I")+COUNTIF(B4:B53,"II")*COUNTIF(C4:C53,"II")+COUNTIF(B4:B53,"III")*COUNTIF(C4:C53,"III")+COUNTIF(B4:B53,"IV")*COUNTIF(C4:C53,"IV"))/(H4*H4))</f>
        <v/>
      </c>
    </row>
    <row r="9" customFormat="false" ht="15" hidden="false" customHeight="false" outlineLevel="0" collapsed="false">
      <c r="A9" s="7" t="str">
        <f aca="false">IF(Protocolos!A9="","",Protocolos!A9)</f>
        <v/>
      </c>
      <c r="B9" s="11"/>
      <c r="C9" s="11"/>
      <c r="D9" s="7" t="str">
        <f aca="false">IF(OR(B9="",C9=""),"",IF(B9=C9,"Sim","Não"))</f>
        <v/>
      </c>
      <c r="E9" s="7" t="str">
        <f aca="false">IF(OR(B9="",C9=""),"",ABS(MATCH(B9,{"I","II","III","IV"},0)-MATCH(C9,{"I","II","III","IV"},0)))</f>
        <v/>
      </c>
      <c r="G9" s="12" t="s">
        <v>32</v>
      </c>
      <c r="H9" s="14" t="str">
        <f aca="false">IF(OR(H4=0,H8=1),"",(H7-H8)/(1-H8))</f>
        <v/>
      </c>
    </row>
    <row r="10" customFormat="false" ht="15" hidden="false" customHeight="false" outlineLevel="0" collapsed="false">
      <c r="A10" s="7" t="str">
        <f aca="false">IF(Protocolos!A10="","",Protocolos!A10)</f>
        <v/>
      </c>
      <c r="B10" s="11"/>
      <c r="C10" s="11"/>
      <c r="D10" s="7" t="str">
        <f aca="false">IF(OR(B10="",C10=""),"",IF(B10=C10,"Sim","Não"))</f>
        <v/>
      </c>
      <c r="E10" s="7" t="str">
        <f aca="false">IF(OR(B10="",C10=""),"",ABS(MATCH(B10,{"I","II","III","IV"},0)-MATCH(C10,{"I","II","III","IV"},0)))</f>
        <v/>
      </c>
      <c r="G10" s="12" t="s">
        <v>33</v>
      </c>
      <c r="H10" s="15" t="str">
        <f aca="false">IF(H9="","",IF(H9&lt;0.4,"Insuficiente",IF(H9&lt;0.6,"Moderada",IF(H9&lt;0.8,"Substancial","Quase perfeita"))))</f>
        <v/>
      </c>
    </row>
    <row r="11" customFormat="false" ht="15" hidden="false" customHeight="false" outlineLevel="0" collapsed="false">
      <c r="A11" s="7" t="str">
        <f aca="false">IF(Protocolos!A11="","",Protocolos!A11)</f>
        <v/>
      </c>
      <c r="B11" s="11"/>
      <c r="C11" s="11"/>
      <c r="D11" s="7" t="str">
        <f aca="false">IF(OR(B11="",C11=""),"",IF(B11=C11,"Sim","Não"))</f>
        <v/>
      </c>
      <c r="E11" s="7" t="str">
        <f aca="false">IF(OR(B11="",C11=""),"",ABS(MATCH(B11,{"I","II","III","IV"},0)-MATCH(C11,{"I","II","III","IV"},0)))</f>
        <v/>
      </c>
    </row>
    <row r="12" customFormat="false" ht="15" hidden="false" customHeight="false" outlineLevel="0" collapsed="false">
      <c r="A12" s="7" t="str">
        <f aca="false">IF(Protocolos!A12="","",Protocolos!A12)</f>
        <v/>
      </c>
      <c r="B12" s="11"/>
      <c r="C12" s="11"/>
      <c r="D12" s="7" t="str">
        <f aca="false">IF(OR(B12="",C12=""),"",IF(B12=C12,"Sim","Não"))</f>
        <v/>
      </c>
      <c r="E12" s="7" t="str">
        <f aca="false">IF(OR(B12="",C12=""),"",ABS(MATCH(B12,{"I","II","III","IV"},0)-MATCH(C12,{"I","II","III","IV"},0)))</f>
        <v/>
      </c>
      <c r="G12" s="16" t="s">
        <v>34</v>
      </c>
      <c r="H12" s="16"/>
    </row>
    <row r="13" customFormat="false" ht="15" hidden="false" customHeight="false" outlineLevel="0" collapsed="false">
      <c r="A13" s="7" t="str">
        <f aca="false">IF(Protocolos!A13="","",Protocolos!A13)</f>
        <v/>
      </c>
      <c r="B13" s="11"/>
      <c r="C13" s="11"/>
      <c r="D13" s="7" t="str">
        <f aca="false">IF(OR(B13="",C13=""),"",IF(B13=C13,"Sim","Não"))</f>
        <v/>
      </c>
      <c r="E13" s="7" t="str">
        <f aca="false">IF(OR(B13="",C13=""),"",ABS(MATCH(B13,{"I","II","III","IV"},0)-MATCH(C13,{"I","II","III","IV"},0)))</f>
        <v/>
      </c>
    </row>
    <row r="14" customFormat="false" ht="15" hidden="false" customHeight="false" outlineLevel="0" collapsed="false">
      <c r="A14" s="7" t="str">
        <f aca="false">IF(Protocolos!A14="","",Protocolos!A14)</f>
        <v/>
      </c>
      <c r="B14" s="11"/>
      <c r="C14" s="11"/>
      <c r="D14" s="7" t="str">
        <f aca="false">IF(OR(B14="",C14=""),"",IF(B14=C14,"Sim","Não"))</f>
        <v/>
      </c>
      <c r="E14" s="7" t="str">
        <f aca="false">IF(OR(B14="",C14=""),"",ABS(MATCH(B14,{"I","II","III","IV"},0)-MATCH(C14,{"I","II","III","IV"},0)))</f>
        <v/>
      </c>
    </row>
    <row r="15" customFormat="false" ht="15" hidden="false" customHeight="false" outlineLevel="0" collapsed="false">
      <c r="A15" s="7" t="str">
        <f aca="false">IF(Protocolos!A15="","",Protocolos!A15)</f>
        <v/>
      </c>
      <c r="B15" s="11"/>
      <c r="C15" s="11"/>
      <c r="D15" s="7" t="str">
        <f aca="false">IF(OR(B15="",C15=""),"",IF(B15=C15,"Sim","Não"))</f>
        <v/>
      </c>
      <c r="E15" s="7" t="str">
        <f aca="false">IF(OR(B15="",C15=""),"",ABS(MATCH(B15,{"I","II","III","IV"},0)-MATCH(C15,{"I","II","III","IV"},0)))</f>
        <v/>
      </c>
    </row>
    <row r="16" customFormat="false" ht="15" hidden="false" customHeight="false" outlineLevel="0" collapsed="false">
      <c r="A16" s="7" t="str">
        <f aca="false">IF(Protocolos!A16="","",Protocolos!A16)</f>
        <v/>
      </c>
      <c r="B16" s="11"/>
      <c r="C16" s="11"/>
      <c r="D16" s="7" t="str">
        <f aca="false">IF(OR(B16="",C16=""),"",IF(B16=C16,"Sim","Não"))</f>
        <v/>
      </c>
      <c r="E16" s="7" t="str">
        <f aca="false">IF(OR(B16="",C16=""),"",ABS(MATCH(B16,{"I","II","III","IV"},0)-MATCH(C16,{"I","II","III","IV"},0)))</f>
        <v/>
      </c>
    </row>
    <row r="17" customFormat="false" ht="15" hidden="false" customHeight="false" outlineLevel="0" collapsed="false">
      <c r="A17" s="7" t="str">
        <f aca="false">IF(Protocolos!A17="","",Protocolos!A17)</f>
        <v/>
      </c>
      <c r="B17" s="11"/>
      <c r="C17" s="11"/>
      <c r="D17" s="7" t="str">
        <f aca="false">IF(OR(B17="",C17=""),"",IF(B17=C17,"Sim","Não"))</f>
        <v/>
      </c>
      <c r="E17" s="7" t="str">
        <f aca="false">IF(OR(B17="",C17=""),"",ABS(MATCH(B17,{"I","II","III","IV"},0)-MATCH(C17,{"I","II","III","IV"},0)))</f>
        <v/>
      </c>
    </row>
    <row r="18" customFormat="false" ht="15" hidden="false" customHeight="false" outlineLevel="0" collapsed="false">
      <c r="A18" s="7" t="str">
        <f aca="false">IF(Protocolos!A18="","",Protocolos!A18)</f>
        <v/>
      </c>
      <c r="B18" s="11"/>
      <c r="C18" s="11"/>
      <c r="D18" s="7" t="str">
        <f aca="false">IF(OR(B18="",C18=""),"",IF(B18=C18,"Sim","Não"))</f>
        <v/>
      </c>
      <c r="E18" s="7" t="str">
        <f aca="false">IF(OR(B18="",C18=""),"",ABS(MATCH(B18,{"I","II","III","IV"},0)-MATCH(C18,{"I","II","III","IV"},0)))</f>
        <v/>
      </c>
    </row>
    <row r="19" customFormat="false" ht="15" hidden="false" customHeight="false" outlineLevel="0" collapsed="false">
      <c r="A19" s="7" t="str">
        <f aca="false">IF(Protocolos!A19="","",Protocolos!A19)</f>
        <v/>
      </c>
      <c r="B19" s="11"/>
      <c r="C19" s="11"/>
      <c r="D19" s="7" t="str">
        <f aca="false">IF(OR(B19="",C19=""),"",IF(B19=C19,"Sim","Não"))</f>
        <v/>
      </c>
      <c r="E19" s="7" t="str">
        <f aca="false">IF(OR(B19="",C19=""),"",ABS(MATCH(B19,{"I","II","III","IV"},0)-MATCH(C19,{"I","II","III","IV"},0)))</f>
        <v/>
      </c>
    </row>
    <row r="20" customFormat="false" ht="15" hidden="false" customHeight="false" outlineLevel="0" collapsed="false">
      <c r="A20" s="7" t="str">
        <f aca="false">IF(Protocolos!A20="","",Protocolos!A20)</f>
        <v/>
      </c>
      <c r="B20" s="11"/>
      <c r="C20" s="11"/>
      <c r="D20" s="7" t="str">
        <f aca="false">IF(OR(B20="",C20=""),"",IF(B20=C20,"Sim","Não"))</f>
        <v/>
      </c>
      <c r="E20" s="7" t="str">
        <f aca="false">IF(OR(B20="",C20=""),"",ABS(MATCH(B20,{"I","II","III","IV"},0)-MATCH(C20,{"I","II","III","IV"},0)))</f>
        <v/>
      </c>
    </row>
    <row r="21" customFormat="false" ht="15" hidden="false" customHeight="false" outlineLevel="0" collapsed="false">
      <c r="A21" s="7" t="str">
        <f aca="false">IF(Protocolos!A21="","",Protocolos!A21)</f>
        <v/>
      </c>
      <c r="B21" s="11"/>
      <c r="C21" s="11"/>
      <c r="D21" s="7" t="str">
        <f aca="false">IF(OR(B21="",C21=""),"",IF(B21=C21,"Sim","Não"))</f>
        <v/>
      </c>
      <c r="E21" s="7" t="str">
        <f aca="false">IF(OR(B21="",C21=""),"",ABS(MATCH(B21,{"I","II","III","IV"},0)-MATCH(C21,{"I","II","III","IV"},0)))</f>
        <v/>
      </c>
    </row>
    <row r="22" customFormat="false" ht="15" hidden="false" customHeight="false" outlineLevel="0" collapsed="false">
      <c r="A22" s="7" t="str">
        <f aca="false">IF(Protocolos!A22="","",Protocolos!A22)</f>
        <v/>
      </c>
      <c r="B22" s="11"/>
      <c r="C22" s="11"/>
      <c r="D22" s="7" t="str">
        <f aca="false">IF(OR(B22="",C22=""),"",IF(B22=C22,"Sim","Não"))</f>
        <v/>
      </c>
      <c r="E22" s="7" t="str">
        <f aca="false">IF(OR(B22="",C22=""),"",ABS(MATCH(B22,{"I","II","III","IV"},0)-MATCH(C22,{"I","II","III","IV"},0)))</f>
        <v/>
      </c>
    </row>
    <row r="23" customFormat="false" ht="15" hidden="false" customHeight="false" outlineLevel="0" collapsed="false">
      <c r="A23" s="7" t="str">
        <f aca="false">IF(Protocolos!A23="","",Protocolos!A23)</f>
        <v/>
      </c>
      <c r="B23" s="11"/>
      <c r="C23" s="11"/>
      <c r="D23" s="7" t="str">
        <f aca="false">IF(OR(B23="",C23=""),"",IF(B23=C23,"Sim","Não"))</f>
        <v/>
      </c>
      <c r="E23" s="7" t="str">
        <f aca="false">IF(OR(B23="",C23=""),"",ABS(MATCH(B23,{"I","II","III","IV"},0)-MATCH(C23,{"I","II","III","IV"},0)))</f>
        <v/>
      </c>
    </row>
    <row r="24" customFormat="false" ht="15" hidden="false" customHeight="false" outlineLevel="0" collapsed="false">
      <c r="A24" s="7" t="str">
        <f aca="false">IF(Protocolos!A24="","",Protocolos!A24)</f>
        <v/>
      </c>
      <c r="B24" s="11"/>
      <c r="C24" s="11"/>
      <c r="D24" s="7" t="str">
        <f aca="false">IF(OR(B24="",C24=""),"",IF(B24=C24,"Sim","Não"))</f>
        <v/>
      </c>
      <c r="E24" s="7" t="str">
        <f aca="false">IF(OR(B24="",C24=""),"",ABS(MATCH(B24,{"I","II","III","IV"},0)-MATCH(C24,{"I","II","III","IV"},0)))</f>
        <v/>
      </c>
    </row>
    <row r="25" customFormat="false" ht="15" hidden="false" customHeight="false" outlineLevel="0" collapsed="false">
      <c r="A25" s="7" t="str">
        <f aca="false">IF(Protocolos!A25="","",Protocolos!A25)</f>
        <v/>
      </c>
      <c r="B25" s="11"/>
      <c r="C25" s="11"/>
      <c r="D25" s="7" t="str">
        <f aca="false">IF(OR(B25="",C25=""),"",IF(B25=C25,"Sim","Não"))</f>
        <v/>
      </c>
      <c r="E25" s="7" t="str">
        <f aca="false">IF(OR(B25="",C25=""),"",ABS(MATCH(B25,{"I","II","III","IV"},0)-MATCH(C25,{"I","II","III","IV"},0)))</f>
        <v/>
      </c>
    </row>
    <row r="26" customFormat="false" ht="15" hidden="false" customHeight="false" outlineLevel="0" collapsed="false">
      <c r="A26" s="7" t="str">
        <f aca="false">IF(Protocolos!A26="","",Protocolos!A26)</f>
        <v/>
      </c>
      <c r="B26" s="11"/>
      <c r="C26" s="11"/>
      <c r="D26" s="7" t="str">
        <f aca="false">IF(OR(B26="",C26=""),"",IF(B26=C26,"Sim","Não"))</f>
        <v/>
      </c>
      <c r="E26" s="7" t="str">
        <f aca="false">IF(OR(B26="",C26=""),"",ABS(MATCH(B26,{"I","II","III","IV"},0)-MATCH(C26,{"I","II","III","IV"},0)))</f>
        <v/>
      </c>
    </row>
    <row r="27" customFormat="false" ht="15" hidden="false" customHeight="false" outlineLevel="0" collapsed="false">
      <c r="A27" s="7" t="str">
        <f aca="false">IF(Protocolos!A27="","",Protocolos!A27)</f>
        <v/>
      </c>
      <c r="B27" s="11"/>
      <c r="C27" s="11"/>
      <c r="D27" s="7" t="str">
        <f aca="false">IF(OR(B27="",C27=""),"",IF(B27=C27,"Sim","Não"))</f>
        <v/>
      </c>
      <c r="E27" s="7" t="str">
        <f aca="false">IF(OR(B27="",C27=""),"",ABS(MATCH(B27,{"I","II","III","IV"},0)-MATCH(C27,{"I","II","III","IV"},0)))</f>
        <v/>
      </c>
    </row>
    <row r="28" customFormat="false" ht="15" hidden="false" customHeight="false" outlineLevel="0" collapsed="false">
      <c r="A28" s="7" t="str">
        <f aca="false">IF(Protocolos!A28="","",Protocolos!A28)</f>
        <v/>
      </c>
      <c r="B28" s="11"/>
      <c r="C28" s="11"/>
      <c r="D28" s="7" t="str">
        <f aca="false">IF(OR(B28="",C28=""),"",IF(B28=C28,"Sim","Não"))</f>
        <v/>
      </c>
      <c r="E28" s="7" t="str">
        <f aca="false">IF(OR(B28="",C28=""),"",ABS(MATCH(B28,{"I","II","III","IV"},0)-MATCH(C28,{"I","II","III","IV"},0)))</f>
        <v/>
      </c>
    </row>
    <row r="29" customFormat="false" ht="15" hidden="false" customHeight="false" outlineLevel="0" collapsed="false">
      <c r="A29" s="7" t="str">
        <f aca="false">IF(Protocolos!A29="","",Protocolos!A29)</f>
        <v/>
      </c>
      <c r="B29" s="11"/>
      <c r="C29" s="11"/>
      <c r="D29" s="7" t="str">
        <f aca="false">IF(OR(B29="",C29=""),"",IF(B29=C29,"Sim","Não"))</f>
        <v/>
      </c>
      <c r="E29" s="7" t="str">
        <f aca="false">IF(OR(B29="",C29=""),"",ABS(MATCH(B29,{"I","II","III","IV"},0)-MATCH(C29,{"I","II","III","IV"},0)))</f>
        <v/>
      </c>
    </row>
    <row r="30" customFormat="false" ht="15" hidden="false" customHeight="false" outlineLevel="0" collapsed="false">
      <c r="A30" s="7" t="str">
        <f aca="false">IF(Protocolos!A30="","",Protocolos!A30)</f>
        <v/>
      </c>
      <c r="B30" s="11"/>
      <c r="C30" s="11"/>
      <c r="D30" s="7" t="str">
        <f aca="false">IF(OR(B30="",C30=""),"",IF(B30=C30,"Sim","Não"))</f>
        <v/>
      </c>
      <c r="E30" s="7" t="str">
        <f aca="false">IF(OR(B30="",C30=""),"",ABS(MATCH(B30,{"I","II","III","IV"},0)-MATCH(C30,{"I","II","III","IV"},0)))</f>
        <v/>
      </c>
    </row>
    <row r="31" customFormat="false" ht="15" hidden="false" customHeight="false" outlineLevel="0" collapsed="false">
      <c r="A31" s="7" t="str">
        <f aca="false">IF(Protocolos!A31="","",Protocolos!A31)</f>
        <v/>
      </c>
      <c r="B31" s="11"/>
      <c r="C31" s="11"/>
      <c r="D31" s="7" t="str">
        <f aca="false">IF(OR(B31="",C31=""),"",IF(B31=C31,"Sim","Não"))</f>
        <v/>
      </c>
      <c r="E31" s="7" t="str">
        <f aca="false">IF(OR(B31="",C31=""),"",ABS(MATCH(B31,{"I","II","III","IV"},0)-MATCH(C31,{"I","II","III","IV"},0)))</f>
        <v/>
      </c>
    </row>
    <row r="32" customFormat="false" ht="15" hidden="false" customHeight="false" outlineLevel="0" collapsed="false">
      <c r="A32" s="7" t="str">
        <f aca="false">IF(Protocolos!A32="","",Protocolos!A32)</f>
        <v/>
      </c>
      <c r="B32" s="11"/>
      <c r="C32" s="11"/>
      <c r="D32" s="7" t="str">
        <f aca="false">IF(OR(B32="",C32=""),"",IF(B32=C32,"Sim","Não"))</f>
        <v/>
      </c>
      <c r="E32" s="7" t="str">
        <f aca="false">IF(OR(B32="",C32=""),"",ABS(MATCH(B32,{"I","II","III","IV"},0)-MATCH(C32,{"I","II","III","IV"},0)))</f>
        <v/>
      </c>
    </row>
    <row r="33" customFormat="false" ht="15" hidden="false" customHeight="false" outlineLevel="0" collapsed="false">
      <c r="A33" s="7" t="str">
        <f aca="false">IF(Protocolos!A33="","",Protocolos!A33)</f>
        <v/>
      </c>
      <c r="B33" s="11"/>
      <c r="C33" s="11"/>
      <c r="D33" s="7" t="str">
        <f aca="false">IF(OR(B33="",C33=""),"",IF(B33=C33,"Sim","Não"))</f>
        <v/>
      </c>
      <c r="E33" s="7" t="str">
        <f aca="false">IF(OR(B33="",C33=""),"",ABS(MATCH(B33,{"I","II","III","IV"},0)-MATCH(C33,{"I","II","III","IV"},0)))</f>
        <v/>
      </c>
    </row>
    <row r="34" customFormat="false" ht="15" hidden="false" customHeight="false" outlineLevel="0" collapsed="false">
      <c r="A34" s="7" t="str">
        <f aca="false">IF(Protocolos!A34="","",Protocolos!A34)</f>
        <v/>
      </c>
      <c r="B34" s="11"/>
      <c r="C34" s="11"/>
      <c r="D34" s="7" t="str">
        <f aca="false">IF(OR(B34="",C34=""),"",IF(B34=C34,"Sim","Não"))</f>
        <v/>
      </c>
      <c r="E34" s="7" t="str">
        <f aca="false">IF(OR(B34="",C34=""),"",ABS(MATCH(B34,{"I","II","III","IV"},0)-MATCH(C34,{"I","II","III","IV"},0)))</f>
        <v/>
      </c>
    </row>
    <row r="35" customFormat="false" ht="15" hidden="false" customHeight="false" outlineLevel="0" collapsed="false">
      <c r="A35" s="7" t="str">
        <f aca="false">IF(Protocolos!A35="","",Protocolos!A35)</f>
        <v/>
      </c>
      <c r="B35" s="11"/>
      <c r="C35" s="11"/>
      <c r="D35" s="7" t="str">
        <f aca="false">IF(OR(B35="",C35=""),"",IF(B35=C35,"Sim","Não"))</f>
        <v/>
      </c>
      <c r="E35" s="7" t="str">
        <f aca="false">IF(OR(B35="",C35=""),"",ABS(MATCH(B35,{"I","II","III","IV"},0)-MATCH(C35,{"I","II","III","IV"},0)))</f>
        <v/>
      </c>
    </row>
    <row r="36" customFormat="false" ht="15" hidden="false" customHeight="false" outlineLevel="0" collapsed="false">
      <c r="A36" s="7" t="str">
        <f aca="false">IF(Protocolos!A36="","",Protocolos!A36)</f>
        <v/>
      </c>
      <c r="B36" s="11"/>
      <c r="C36" s="11"/>
      <c r="D36" s="7" t="str">
        <f aca="false">IF(OR(B36="",C36=""),"",IF(B36=C36,"Sim","Não"))</f>
        <v/>
      </c>
      <c r="E36" s="7" t="str">
        <f aca="false">IF(OR(B36="",C36=""),"",ABS(MATCH(B36,{"I","II","III","IV"},0)-MATCH(C36,{"I","II","III","IV"},0)))</f>
        <v/>
      </c>
    </row>
    <row r="37" customFormat="false" ht="15" hidden="false" customHeight="false" outlineLevel="0" collapsed="false">
      <c r="A37" s="7" t="str">
        <f aca="false">IF(Protocolos!A37="","",Protocolos!A37)</f>
        <v/>
      </c>
      <c r="B37" s="11"/>
      <c r="C37" s="11"/>
      <c r="D37" s="7" t="str">
        <f aca="false">IF(OR(B37="",C37=""),"",IF(B37=C37,"Sim","Não"))</f>
        <v/>
      </c>
      <c r="E37" s="7" t="str">
        <f aca="false">IF(OR(B37="",C37=""),"",ABS(MATCH(B37,{"I","II","III","IV"},0)-MATCH(C37,{"I","II","III","IV"},0)))</f>
        <v/>
      </c>
    </row>
    <row r="38" customFormat="false" ht="15" hidden="false" customHeight="false" outlineLevel="0" collapsed="false">
      <c r="A38" s="7" t="str">
        <f aca="false">IF(Protocolos!A38="","",Protocolos!A38)</f>
        <v/>
      </c>
      <c r="B38" s="11"/>
      <c r="C38" s="11"/>
      <c r="D38" s="7" t="str">
        <f aca="false">IF(OR(B38="",C38=""),"",IF(B38=C38,"Sim","Não"))</f>
        <v/>
      </c>
      <c r="E38" s="7" t="str">
        <f aca="false">IF(OR(B38="",C38=""),"",ABS(MATCH(B38,{"I","II","III","IV"},0)-MATCH(C38,{"I","II","III","IV"},0)))</f>
        <v/>
      </c>
    </row>
    <row r="39" customFormat="false" ht="15" hidden="false" customHeight="false" outlineLevel="0" collapsed="false">
      <c r="A39" s="7" t="str">
        <f aca="false">IF(Protocolos!A39="","",Protocolos!A39)</f>
        <v/>
      </c>
      <c r="B39" s="11"/>
      <c r="C39" s="11"/>
      <c r="D39" s="7" t="str">
        <f aca="false">IF(OR(B39="",C39=""),"",IF(B39=C39,"Sim","Não"))</f>
        <v/>
      </c>
      <c r="E39" s="7" t="str">
        <f aca="false">IF(OR(B39="",C39=""),"",ABS(MATCH(B39,{"I","II","III","IV"},0)-MATCH(C39,{"I","II","III","IV"},0)))</f>
        <v/>
      </c>
    </row>
    <row r="40" customFormat="false" ht="15" hidden="false" customHeight="false" outlineLevel="0" collapsed="false">
      <c r="A40" s="7" t="str">
        <f aca="false">IF(Protocolos!A40="","",Protocolos!A40)</f>
        <v/>
      </c>
      <c r="B40" s="11"/>
      <c r="C40" s="11"/>
      <c r="D40" s="7" t="str">
        <f aca="false">IF(OR(B40="",C40=""),"",IF(B40=C40,"Sim","Não"))</f>
        <v/>
      </c>
      <c r="E40" s="7" t="str">
        <f aca="false">IF(OR(B40="",C40=""),"",ABS(MATCH(B40,{"I","II","III","IV"},0)-MATCH(C40,{"I","II","III","IV"},0)))</f>
        <v/>
      </c>
    </row>
    <row r="41" customFormat="false" ht="15" hidden="false" customHeight="false" outlineLevel="0" collapsed="false">
      <c r="A41" s="7" t="str">
        <f aca="false">IF(Protocolos!A41="","",Protocolos!A41)</f>
        <v/>
      </c>
      <c r="B41" s="11"/>
      <c r="C41" s="11"/>
      <c r="D41" s="7" t="str">
        <f aca="false">IF(OR(B41="",C41=""),"",IF(B41=C41,"Sim","Não"))</f>
        <v/>
      </c>
      <c r="E41" s="7" t="str">
        <f aca="false">IF(OR(B41="",C41=""),"",ABS(MATCH(B41,{"I","II","III","IV"},0)-MATCH(C41,{"I","II","III","IV"},0)))</f>
        <v/>
      </c>
    </row>
    <row r="42" customFormat="false" ht="15" hidden="false" customHeight="false" outlineLevel="0" collapsed="false">
      <c r="A42" s="7" t="str">
        <f aca="false">IF(Protocolos!A42="","",Protocolos!A42)</f>
        <v/>
      </c>
      <c r="B42" s="11"/>
      <c r="C42" s="11"/>
      <c r="D42" s="7" t="str">
        <f aca="false">IF(OR(B42="",C42=""),"",IF(B42=C42,"Sim","Não"))</f>
        <v/>
      </c>
      <c r="E42" s="7" t="str">
        <f aca="false">IF(OR(B42="",C42=""),"",ABS(MATCH(B42,{"I","II","III","IV"},0)-MATCH(C42,{"I","II","III","IV"},0)))</f>
        <v/>
      </c>
    </row>
    <row r="43" customFormat="false" ht="15" hidden="false" customHeight="false" outlineLevel="0" collapsed="false">
      <c r="A43" s="7" t="str">
        <f aca="false">IF(Protocolos!A43="","",Protocolos!A43)</f>
        <v/>
      </c>
      <c r="B43" s="11"/>
      <c r="C43" s="11"/>
      <c r="D43" s="7" t="str">
        <f aca="false">IF(OR(B43="",C43=""),"",IF(B43=C43,"Sim","Não"))</f>
        <v/>
      </c>
      <c r="E43" s="7" t="str">
        <f aca="false">IF(OR(B43="",C43=""),"",ABS(MATCH(B43,{"I","II","III","IV"},0)-MATCH(C43,{"I","II","III","IV"},0)))</f>
        <v/>
      </c>
    </row>
    <row r="44" customFormat="false" ht="15" hidden="false" customHeight="false" outlineLevel="0" collapsed="false">
      <c r="A44" s="7" t="str">
        <f aca="false">IF(Protocolos!A44="","",Protocolos!A44)</f>
        <v/>
      </c>
      <c r="B44" s="11"/>
      <c r="C44" s="11"/>
      <c r="D44" s="7" t="str">
        <f aca="false">IF(OR(B44="",C44=""),"",IF(B44=C44,"Sim","Não"))</f>
        <v/>
      </c>
      <c r="E44" s="7" t="str">
        <f aca="false">IF(OR(B44="",C44=""),"",ABS(MATCH(B44,{"I","II","III","IV"},0)-MATCH(C44,{"I","II","III","IV"},0)))</f>
        <v/>
      </c>
    </row>
    <row r="45" customFormat="false" ht="15" hidden="false" customHeight="false" outlineLevel="0" collapsed="false">
      <c r="A45" s="7" t="str">
        <f aca="false">IF(Protocolos!A45="","",Protocolos!A45)</f>
        <v/>
      </c>
      <c r="B45" s="11"/>
      <c r="C45" s="11"/>
      <c r="D45" s="7" t="str">
        <f aca="false">IF(OR(B45="",C45=""),"",IF(B45=C45,"Sim","Não"))</f>
        <v/>
      </c>
      <c r="E45" s="7" t="str">
        <f aca="false">IF(OR(B45="",C45=""),"",ABS(MATCH(B45,{"I","II","III","IV"},0)-MATCH(C45,{"I","II","III","IV"},0)))</f>
        <v/>
      </c>
    </row>
    <row r="46" customFormat="false" ht="15" hidden="false" customHeight="false" outlineLevel="0" collapsed="false">
      <c r="A46" s="7" t="str">
        <f aca="false">IF(Protocolos!A46="","",Protocolos!A46)</f>
        <v/>
      </c>
      <c r="B46" s="11"/>
      <c r="C46" s="11"/>
      <c r="D46" s="7" t="str">
        <f aca="false">IF(OR(B46="",C46=""),"",IF(B46=C46,"Sim","Não"))</f>
        <v/>
      </c>
      <c r="E46" s="7" t="str">
        <f aca="false">IF(OR(B46="",C46=""),"",ABS(MATCH(B46,{"I","II","III","IV"},0)-MATCH(C46,{"I","II","III","IV"},0)))</f>
        <v/>
      </c>
    </row>
    <row r="47" customFormat="false" ht="15" hidden="false" customHeight="false" outlineLevel="0" collapsed="false">
      <c r="A47" s="7" t="str">
        <f aca="false">IF(Protocolos!A47="","",Protocolos!A47)</f>
        <v/>
      </c>
      <c r="B47" s="11"/>
      <c r="C47" s="11"/>
      <c r="D47" s="7" t="str">
        <f aca="false">IF(OR(B47="",C47=""),"",IF(B47=C47,"Sim","Não"))</f>
        <v/>
      </c>
      <c r="E47" s="7" t="str">
        <f aca="false">IF(OR(B47="",C47=""),"",ABS(MATCH(B47,{"I","II","III","IV"},0)-MATCH(C47,{"I","II","III","IV"},0)))</f>
        <v/>
      </c>
    </row>
    <row r="48" customFormat="false" ht="15" hidden="false" customHeight="false" outlineLevel="0" collapsed="false">
      <c r="A48" s="7" t="str">
        <f aca="false">IF(Protocolos!A48="","",Protocolos!A48)</f>
        <v/>
      </c>
      <c r="B48" s="11"/>
      <c r="C48" s="11"/>
      <c r="D48" s="7" t="str">
        <f aca="false">IF(OR(B48="",C48=""),"",IF(B48=C48,"Sim","Não"))</f>
        <v/>
      </c>
      <c r="E48" s="7" t="str">
        <f aca="false">IF(OR(B48="",C48=""),"",ABS(MATCH(B48,{"I","II","III","IV"},0)-MATCH(C48,{"I","II","III","IV"},0)))</f>
        <v/>
      </c>
    </row>
    <row r="49" customFormat="false" ht="15" hidden="false" customHeight="false" outlineLevel="0" collapsed="false">
      <c r="A49" s="7" t="str">
        <f aca="false">IF(Protocolos!A49="","",Protocolos!A49)</f>
        <v/>
      </c>
      <c r="B49" s="11"/>
      <c r="C49" s="11"/>
      <c r="D49" s="7" t="str">
        <f aca="false">IF(OR(B49="",C49=""),"",IF(B49=C49,"Sim","Não"))</f>
        <v/>
      </c>
      <c r="E49" s="7" t="str">
        <f aca="false">IF(OR(B49="",C49=""),"",ABS(MATCH(B49,{"I","II","III","IV"},0)-MATCH(C49,{"I","II","III","IV"},0)))</f>
        <v/>
      </c>
    </row>
    <row r="50" customFormat="false" ht="15" hidden="false" customHeight="false" outlineLevel="0" collapsed="false">
      <c r="A50" s="7" t="str">
        <f aca="false">IF(Protocolos!A50="","",Protocolos!A50)</f>
        <v/>
      </c>
      <c r="B50" s="11"/>
      <c r="C50" s="11"/>
      <c r="D50" s="7" t="str">
        <f aca="false">IF(OR(B50="",C50=""),"",IF(B50=C50,"Sim","Não"))</f>
        <v/>
      </c>
      <c r="E50" s="7" t="str">
        <f aca="false">IF(OR(B50="",C50=""),"",ABS(MATCH(B50,{"I","II","III","IV"},0)-MATCH(C50,{"I","II","III","IV"},0)))</f>
        <v/>
      </c>
    </row>
    <row r="51" customFormat="false" ht="15" hidden="false" customHeight="false" outlineLevel="0" collapsed="false">
      <c r="A51" s="7" t="str">
        <f aca="false">IF(Protocolos!A51="","",Protocolos!A51)</f>
        <v/>
      </c>
      <c r="B51" s="11"/>
      <c r="C51" s="11"/>
      <c r="D51" s="7" t="str">
        <f aca="false">IF(OR(B51="",C51=""),"",IF(B51=C51,"Sim","Não"))</f>
        <v/>
      </c>
      <c r="E51" s="7" t="str">
        <f aca="false">IF(OR(B51="",C51=""),"",ABS(MATCH(B51,{"I","II","III","IV"},0)-MATCH(C51,{"I","II","III","IV"},0)))</f>
        <v/>
      </c>
    </row>
    <row r="52" customFormat="false" ht="15" hidden="false" customHeight="false" outlineLevel="0" collapsed="false">
      <c r="A52" s="7" t="str">
        <f aca="false">IF(Protocolos!A52="","",Protocolos!A52)</f>
        <v/>
      </c>
      <c r="B52" s="11"/>
      <c r="C52" s="11"/>
      <c r="D52" s="7" t="str">
        <f aca="false">IF(OR(B52="",C52=""),"",IF(B52=C52,"Sim","Não"))</f>
        <v/>
      </c>
      <c r="E52" s="7" t="str">
        <f aca="false">IF(OR(B52="",C52=""),"",ABS(MATCH(B52,{"I","II","III","IV"},0)-MATCH(C52,{"I","II","III","IV"},0)))</f>
        <v/>
      </c>
    </row>
    <row r="53" customFormat="false" ht="15" hidden="false" customHeight="false" outlineLevel="0" collapsed="false">
      <c r="A53" s="7" t="str">
        <f aca="false">IF(Protocolos!A53="","",Protocolos!A53)</f>
        <v/>
      </c>
      <c r="B53" s="11"/>
      <c r="C53" s="11"/>
      <c r="D53" s="7" t="str">
        <f aca="false">IF(OR(B53="",C53=""),"",IF(B53=C53,"Sim","Não"))</f>
        <v/>
      </c>
      <c r="E53" s="7" t="str">
        <f aca="false">IF(OR(B53="",C53=""),"",ABS(MATCH(B53,{"I","II","III","IV"},0)-MATCH(C53,{"I","II","III","IV"},0)))</f>
        <v/>
      </c>
    </row>
  </sheetData>
  <mergeCells count="4">
    <mergeCell ref="A1:E1"/>
    <mergeCell ref="A2:E2"/>
    <mergeCell ref="G3:H3"/>
    <mergeCell ref="G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3" min="13" style="0" width="24"/>
    <col collapsed="false" customWidth="true" hidden="false" outlineLevel="0" max="15" min="14" style="0" width="12"/>
  </cols>
  <sheetData>
    <row r="1" customFormat="false" ht="27.75" hidden="false" customHeight="true" outlineLevel="0" collapsed="false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48" hidden="false" customHeight="true" outlineLevel="0" collapsed="false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6" t="s">
        <v>15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  <c r="M3" s="10" t="s">
        <v>47</v>
      </c>
      <c r="N3" s="10"/>
      <c r="O3" s="10"/>
    </row>
    <row r="4" customFormat="false" ht="15" hidden="false" customHeight="false" outlineLevel="0" collapsed="false">
      <c r="A4" s="7" t="str">
        <f aca="false">IF(Protocolos!A4="","",Protocolos!A4)</f>
        <v/>
      </c>
      <c r="B4" s="11"/>
      <c r="C4" s="11"/>
      <c r="D4" s="11"/>
      <c r="E4" s="11"/>
      <c r="F4" s="11"/>
      <c r="G4" s="11"/>
      <c r="H4" s="11"/>
      <c r="I4" s="11"/>
      <c r="J4" s="7" t="str">
        <f aca="false">IF(COUNT(B4:H4)=0,"",MAX(0,SUM(B4:H4)))</f>
        <v/>
      </c>
      <c r="K4" s="7" t="str">
        <f aca="false">IF(J4="","",IF(I4="Sim",  IF(J4&lt;=56,"I",IF(J4&lt;=123,"II",IF(J4&lt;=202,"III","IV"))),  IF(J4&lt;=50,"I",IF(J4&lt;=110,"II",IF(J4&lt;=180,"III","IV")))))</f>
        <v/>
      </c>
      <c r="M4" s="6" t="s">
        <v>46</v>
      </c>
      <c r="N4" s="6" t="s">
        <v>48</v>
      </c>
      <c r="O4" s="6" t="s">
        <v>49</v>
      </c>
    </row>
    <row r="5" customFormat="false" ht="15" hidden="false" customHeight="false" outlineLevel="0" collapsed="false">
      <c r="A5" s="7" t="str">
        <f aca="false">IF(Protocolos!A5="","",Protocolos!A5)</f>
        <v/>
      </c>
      <c r="B5" s="11"/>
      <c r="C5" s="11"/>
      <c r="D5" s="11"/>
      <c r="E5" s="11"/>
      <c r="F5" s="11"/>
      <c r="G5" s="11"/>
      <c r="H5" s="11"/>
      <c r="I5" s="11"/>
      <c r="J5" s="7" t="str">
        <f aca="false">IF(COUNT(B5:H5)=0,"",MAX(0,SUM(B5:H5)))</f>
        <v/>
      </c>
      <c r="K5" s="7" t="str">
        <f aca="false">IF(J5="","",IF(I5="Sim",  IF(J5&lt;=56,"I",IF(J5&lt;=123,"II",IF(J5&lt;=202,"III","IV"))),  IF(J5&lt;=50,"I",IF(J5&lt;=110,"II",IF(J5&lt;=180,"III","IV")))))</f>
        <v/>
      </c>
      <c r="M5" s="7" t="s">
        <v>50</v>
      </c>
      <c r="N5" s="7" t="n">
        <f aca="false">COUNTIF(K4:K53,"I")</f>
        <v>0</v>
      </c>
      <c r="O5" s="13" t="str">
        <f aca="false">IF(SUM(N5:N8)=0,"",N5/SUM(N5:N8))</f>
        <v/>
      </c>
    </row>
    <row r="6" customFormat="false" ht="15" hidden="false" customHeight="false" outlineLevel="0" collapsed="false">
      <c r="A6" s="7" t="str">
        <f aca="false">IF(Protocolos!A6="","",Protocolos!A6)</f>
        <v/>
      </c>
      <c r="B6" s="11"/>
      <c r="C6" s="11"/>
      <c r="D6" s="11"/>
      <c r="E6" s="11"/>
      <c r="F6" s="11"/>
      <c r="G6" s="11"/>
      <c r="H6" s="11"/>
      <c r="I6" s="11"/>
      <c r="J6" s="7" t="str">
        <f aca="false">IF(COUNT(B6:H6)=0,"",MAX(0,SUM(B6:H6)))</f>
        <v/>
      </c>
      <c r="K6" s="7" t="str">
        <f aca="false">IF(J6="","",IF(I6="Sim",  IF(J6&lt;=56,"I",IF(J6&lt;=123,"II",IF(J6&lt;=202,"III","IV"))),  IF(J6&lt;=50,"I",IF(J6&lt;=110,"II",IF(J6&lt;=180,"III","IV")))))</f>
        <v/>
      </c>
      <c r="M6" s="7" t="s">
        <v>51</v>
      </c>
      <c r="N6" s="7" t="n">
        <f aca="false">COUNTIF(K4:K53,"II")</f>
        <v>0</v>
      </c>
      <c r="O6" s="13" t="str">
        <f aca="false">IF(SUM(N5:N8)=0,"",N6/SUM(N5:N8))</f>
        <v/>
      </c>
    </row>
    <row r="7" customFormat="false" ht="15" hidden="false" customHeight="false" outlineLevel="0" collapsed="false">
      <c r="A7" s="7" t="str">
        <f aca="false">IF(Protocolos!A7="","",Protocolos!A7)</f>
        <v/>
      </c>
      <c r="B7" s="11"/>
      <c r="C7" s="11"/>
      <c r="D7" s="11"/>
      <c r="E7" s="11"/>
      <c r="F7" s="11"/>
      <c r="G7" s="11"/>
      <c r="H7" s="11"/>
      <c r="I7" s="11"/>
      <c r="J7" s="7" t="str">
        <f aca="false">IF(COUNT(B7:H7)=0,"",MAX(0,SUM(B7:H7)))</f>
        <v/>
      </c>
      <c r="K7" s="7" t="str">
        <f aca="false">IF(J7="","",IF(I7="Sim",  IF(J7&lt;=56,"I",IF(J7&lt;=123,"II",IF(J7&lt;=202,"III","IV"))),  IF(J7&lt;=50,"I",IF(J7&lt;=110,"II",IF(J7&lt;=180,"III","IV")))))</f>
        <v/>
      </c>
      <c r="M7" s="7" t="s">
        <v>52</v>
      </c>
      <c r="N7" s="7" t="n">
        <f aca="false">COUNTIF(K4:K53,"III")</f>
        <v>0</v>
      </c>
      <c r="O7" s="13" t="str">
        <f aca="false">IF(SUM(N5:N8)=0,"",N7/SUM(N5:N8))</f>
        <v/>
      </c>
    </row>
    <row r="8" customFormat="false" ht="15" hidden="false" customHeight="false" outlineLevel="0" collapsed="false">
      <c r="A8" s="7" t="str">
        <f aca="false">IF(Protocolos!A8="","",Protocolos!A8)</f>
        <v/>
      </c>
      <c r="B8" s="11"/>
      <c r="C8" s="11"/>
      <c r="D8" s="11"/>
      <c r="E8" s="11"/>
      <c r="F8" s="11"/>
      <c r="G8" s="11"/>
      <c r="H8" s="11"/>
      <c r="I8" s="11"/>
      <c r="J8" s="7" t="str">
        <f aca="false">IF(COUNT(B8:H8)=0,"",MAX(0,SUM(B8:H8)))</f>
        <v/>
      </c>
      <c r="K8" s="7" t="str">
        <f aca="false">IF(J8="","",IF(I8="Sim",  IF(J8&lt;=56,"I",IF(J8&lt;=123,"II",IF(J8&lt;=202,"III","IV"))),  IF(J8&lt;=50,"I",IF(J8&lt;=110,"II",IF(J8&lt;=180,"III","IV")))))</f>
        <v/>
      </c>
      <c r="M8" s="7" t="s">
        <v>53</v>
      </c>
      <c r="N8" s="7" t="n">
        <f aca="false">COUNTIF(K4:K53,"IV")</f>
        <v>0</v>
      </c>
      <c r="O8" s="13" t="str">
        <f aca="false">IF(SUM(N5:N8)=0,"",N8/SUM(N5:N8))</f>
        <v/>
      </c>
    </row>
    <row r="9" customFormat="false" ht="15" hidden="false" customHeight="false" outlineLevel="0" collapsed="false">
      <c r="A9" s="7" t="str">
        <f aca="false">IF(Protocolos!A9="","",Protocolos!A9)</f>
        <v/>
      </c>
      <c r="B9" s="11"/>
      <c r="C9" s="11"/>
      <c r="D9" s="11"/>
      <c r="E9" s="11"/>
      <c r="F9" s="11"/>
      <c r="G9" s="11"/>
      <c r="H9" s="11"/>
      <c r="I9" s="11"/>
      <c r="J9" s="7" t="str">
        <f aca="false">IF(COUNT(B9:H9)=0,"",MAX(0,SUM(B9:H9)))</f>
        <v/>
      </c>
      <c r="K9" s="7" t="str">
        <f aca="false">IF(J9="","",IF(I9="Sim",  IF(J9&lt;=56,"I",IF(J9&lt;=123,"II",IF(J9&lt;=202,"III","IV"))),  IF(J9&lt;=50,"I",IF(J9&lt;=110,"II",IF(J9&lt;=180,"III","IV")))))</f>
        <v/>
      </c>
      <c r="M9" s="17" t="s">
        <v>45</v>
      </c>
      <c r="N9" s="18" t="n">
        <f aca="false">SUM(N5:N8)</f>
        <v>0</v>
      </c>
      <c r="O9" s="19"/>
    </row>
    <row r="10" customFormat="false" ht="15" hidden="false" customHeight="false" outlineLevel="0" collapsed="false">
      <c r="A10" s="7" t="str">
        <f aca="false">IF(Protocolos!A10="","",Protocolos!A10)</f>
        <v/>
      </c>
      <c r="B10" s="11"/>
      <c r="C10" s="11"/>
      <c r="D10" s="11"/>
      <c r="E10" s="11"/>
      <c r="F10" s="11"/>
      <c r="G10" s="11"/>
      <c r="H10" s="11"/>
      <c r="I10" s="11"/>
      <c r="J10" s="7" t="str">
        <f aca="false">IF(COUNT(B10:H10)=0,"",MAX(0,SUM(B10:H10)))</f>
        <v/>
      </c>
      <c r="K10" s="7" t="str">
        <f aca="false">IF(J10="","",IF(I10="Sim",  IF(J10&lt;=56,"I",IF(J10&lt;=123,"II",IF(J10&lt;=202,"III","IV"))),  IF(J10&lt;=50,"I",IF(J10&lt;=110,"II",IF(J10&lt;=180,"III","IV")))))</f>
        <v/>
      </c>
    </row>
    <row r="11" customFormat="false" ht="15" hidden="false" customHeight="false" outlineLevel="0" collapsed="false">
      <c r="A11" s="7" t="str">
        <f aca="false">IF(Protocolos!A11="","",Protocolos!A11)</f>
        <v/>
      </c>
      <c r="B11" s="11"/>
      <c r="C11" s="11"/>
      <c r="D11" s="11"/>
      <c r="E11" s="11"/>
      <c r="F11" s="11"/>
      <c r="G11" s="11"/>
      <c r="H11" s="11"/>
      <c r="I11" s="11"/>
      <c r="J11" s="7" t="str">
        <f aca="false">IF(COUNT(B11:H11)=0,"",MAX(0,SUM(B11:H11)))</f>
        <v/>
      </c>
      <c r="K11" s="7" t="str">
        <f aca="false">IF(J11="","",IF(I11="Sim",  IF(J11&lt;=56,"I",IF(J11&lt;=123,"II",IF(J11&lt;=202,"III","IV"))),  IF(J11&lt;=50,"I",IF(J11&lt;=110,"II",IF(J11&lt;=180,"III","IV")))))</f>
        <v/>
      </c>
      <c r="M11" s="10" t="s">
        <v>54</v>
      </c>
      <c r="N11" s="10"/>
      <c r="O11" s="10"/>
    </row>
    <row r="12" customFormat="false" ht="15" hidden="false" customHeight="false" outlineLevel="0" collapsed="false">
      <c r="A12" s="7" t="str">
        <f aca="false">IF(Protocolos!A12="","",Protocolos!A12)</f>
        <v/>
      </c>
      <c r="B12" s="11"/>
      <c r="C12" s="11"/>
      <c r="D12" s="11"/>
      <c r="E12" s="11"/>
      <c r="F12" s="11"/>
      <c r="G12" s="11"/>
      <c r="H12" s="11"/>
      <c r="I12" s="11"/>
      <c r="J12" s="7" t="str">
        <f aca="false">IF(COUNT(B12:H12)=0,"",MAX(0,SUM(B12:H12)))</f>
        <v/>
      </c>
      <c r="K12" s="7" t="str">
        <f aca="false">IF(J12="","",IF(I12="Sim",  IF(J12&lt;=56,"I",IF(J12&lt;=123,"II",IF(J12&lt;=202,"III","IV"))),  IF(J12&lt;=50,"I",IF(J12&lt;=110,"II",IF(J12&lt;=180,"III","IV")))))</f>
        <v/>
      </c>
      <c r="M12" s="11" t="s">
        <v>55</v>
      </c>
      <c r="N12" s="20" t="str">
        <f aca="false">IFERROR(MEDIAN(J4:J53),"")</f>
        <v/>
      </c>
    </row>
    <row r="13" customFormat="false" ht="15" hidden="false" customHeight="false" outlineLevel="0" collapsed="false">
      <c r="A13" s="7" t="str">
        <f aca="false">IF(Protocolos!A13="","",Protocolos!A13)</f>
        <v/>
      </c>
      <c r="B13" s="11"/>
      <c r="C13" s="11"/>
      <c r="D13" s="11"/>
      <c r="E13" s="11"/>
      <c r="F13" s="11"/>
      <c r="G13" s="11"/>
      <c r="H13" s="11"/>
      <c r="I13" s="11"/>
      <c r="J13" s="7" t="str">
        <f aca="false">IF(COUNT(B13:H13)=0,"",MAX(0,SUM(B13:H13)))</f>
        <v/>
      </c>
      <c r="K13" s="7" t="str">
        <f aca="false">IF(J13="","",IF(I13="Sim",  IF(J13&lt;=56,"I",IF(J13&lt;=123,"II",IF(J13&lt;=202,"III","IV"))),  IF(J13&lt;=50,"I",IF(J13&lt;=110,"II",IF(J13&lt;=180,"III","IV")))))</f>
        <v/>
      </c>
      <c r="M13" s="11" t="s">
        <v>56</v>
      </c>
      <c r="N13" s="20" t="str">
        <f aca="false">IFERROR(AVERAGE(J4:J53),"")</f>
        <v/>
      </c>
    </row>
    <row r="14" customFormat="false" ht="15" hidden="false" customHeight="false" outlineLevel="0" collapsed="false">
      <c r="A14" s="7" t="str">
        <f aca="false">IF(Protocolos!A14="","",Protocolos!A14)</f>
        <v/>
      </c>
      <c r="B14" s="11"/>
      <c r="C14" s="11"/>
      <c r="D14" s="11"/>
      <c r="E14" s="11"/>
      <c r="F14" s="11"/>
      <c r="G14" s="11"/>
      <c r="H14" s="11"/>
      <c r="I14" s="11"/>
      <c r="J14" s="7" t="str">
        <f aca="false">IF(COUNT(B14:H14)=0,"",MAX(0,SUM(B14:H14)))</f>
        <v/>
      </c>
      <c r="K14" s="7" t="str">
        <f aca="false">IF(J14="","",IF(I14="Sim",  IF(J14&lt;=56,"I",IF(J14&lt;=123,"II",IF(J14&lt;=202,"III","IV"))),  IF(J14&lt;=50,"I",IF(J14&lt;=110,"II",IF(J14&lt;=180,"III","IV")))))</f>
        <v/>
      </c>
      <c r="M14" s="11" t="s">
        <v>57</v>
      </c>
      <c r="N14" s="20" t="str">
        <f aca="false">IFERROR(STDEV(J4:J53),"")</f>
        <v/>
      </c>
    </row>
    <row r="15" customFormat="false" ht="15" hidden="false" customHeight="false" outlineLevel="0" collapsed="false">
      <c r="A15" s="7" t="str">
        <f aca="false">IF(Protocolos!A15="","",Protocolos!A15)</f>
        <v/>
      </c>
      <c r="B15" s="11"/>
      <c r="C15" s="11"/>
      <c r="D15" s="11"/>
      <c r="E15" s="11"/>
      <c r="F15" s="11"/>
      <c r="G15" s="11"/>
      <c r="H15" s="11"/>
      <c r="I15" s="11"/>
      <c r="J15" s="7" t="str">
        <f aca="false">IF(COUNT(B15:H15)=0,"",MAX(0,SUM(B15:H15)))</f>
        <v/>
      </c>
      <c r="K15" s="7" t="str">
        <f aca="false">IF(J15="","",IF(I15="Sim",  IF(J15&lt;=56,"I",IF(J15&lt;=123,"II",IF(J15&lt;=202,"III","IV"))),  IF(J15&lt;=50,"I",IF(J15&lt;=110,"II",IF(J15&lt;=180,"III","IV")))))</f>
        <v/>
      </c>
      <c r="M15" s="11" t="s">
        <v>58</v>
      </c>
      <c r="N15" s="20" t="n">
        <f aca="false">IFERROR(MIN(J4:J53),"")</f>
        <v>0</v>
      </c>
    </row>
    <row r="16" customFormat="false" ht="15" hidden="false" customHeight="false" outlineLevel="0" collapsed="false">
      <c r="A16" s="7" t="str">
        <f aca="false">IF(Protocolos!A16="","",Protocolos!A16)</f>
        <v/>
      </c>
      <c r="B16" s="11"/>
      <c r="C16" s="11"/>
      <c r="D16" s="11"/>
      <c r="E16" s="11"/>
      <c r="F16" s="11"/>
      <c r="G16" s="11"/>
      <c r="H16" s="11"/>
      <c r="I16" s="11"/>
      <c r="J16" s="7" t="str">
        <f aca="false">IF(COUNT(B16:H16)=0,"",MAX(0,SUM(B16:H16)))</f>
        <v/>
      </c>
      <c r="K16" s="7" t="str">
        <f aca="false">IF(J16="","",IF(I16="Sim",  IF(J16&lt;=56,"I",IF(J16&lt;=123,"II",IF(J16&lt;=202,"III","IV"))),  IF(J16&lt;=50,"I",IF(J16&lt;=110,"II",IF(J16&lt;=180,"III","IV")))))</f>
        <v/>
      </c>
      <c r="M16" s="11" t="s">
        <v>59</v>
      </c>
      <c r="N16" s="20" t="n">
        <f aca="false">IFERROR(MAX(J4:J53),"")</f>
        <v>0</v>
      </c>
    </row>
    <row r="17" customFormat="false" ht="15" hidden="false" customHeight="false" outlineLevel="0" collapsed="false">
      <c r="A17" s="7" t="str">
        <f aca="false">IF(Protocolos!A17="","",Protocolos!A17)</f>
        <v/>
      </c>
      <c r="B17" s="11"/>
      <c r="C17" s="11"/>
      <c r="D17" s="11"/>
      <c r="E17" s="11"/>
      <c r="F17" s="11"/>
      <c r="G17" s="11"/>
      <c r="H17" s="11"/>
      <c r="I17" s="11"/>
      <c r="J17" s="7" t="str">
        <f aca="false">IF(COUNT(B17:H17)=0,"",MAX(0,SUM(B17:H17)))</f>
        <v/>
      </c>
      <c r="K17" s="7" t="str">
        <f aca="false">IF(J17="","",IF(I17="Sim",  IF(J17&lt;=56,"I",IF(J17&lt;=123,"II",IF(J17&lt;=202,"III","IV"))),  IF(J17&lt;=50,"I",IF(J17&lt;=110,"II",IF(J17&lt;=180,"III","IV")))))</f>
        <v/>
      </c>
    </row>
    <row r="18" customFormat="false" ht="15" hidden="false" customHeight="false" outlineLevel="0" collapsed="false">
      <c r="A18" s="7" t="str">
        <f aca="false">IF(Protocolos!A18="","",Protocolos!A18)</f>
        <v/>
      </c>
      <c r="B18" s="11"/>
      <c r="C18" s="11"/>
      <c r="D18" s="11"/>
      <c r="E18" s="11"/>
      <c r="F18" s="11"/>
      <c r="G18" s="11"/>
      <c r="H18" s="11"/>
      <c r="I18" s="11"/>
      <c r="J18" s="7" t="str">
        <f aca="false">IF(COUNT(B18:H18)=0,"",MAX(0,SUM(B18:H18)))</f>
        <v/>
      </c>
      <c r="K18" s="7" t="str">
        <f aca="false">IF(J18="","",IF(I18="Sim",  IF(J18&lt;=56,"I",IF(J18&lt;=123,"II",IF(J18&lt;=202,"III","IV"))),  IF(J18&lt;=50,"I",IF(J18&lt;=110,"II",IF(J18&lt;=180,"III","IV")))))</f>
        <v/>
      </c>
    </row>
    <row r="19" customFormat="false" ht="15" hidden="false" customHeight="false" outlineLevel="0" collapsed="false">
      <c r="A19" s="7" t="str">
        <f aca="false">IF(Protocolos!A19="","",Protocolos!A19)</f>
        <v/>
      </c>
      <c r="B19" s="11"/>
      <c r="C19" s="11"/>
      <c r="D19" s="11"/>
      <c r="E19" s="11"/>
      <c r="F19" s="11"/>
      <c r="G19" s="11"/>
      <c r="H19" s="11"/>
      <c r="I19" s="11"/>
      <c r="J19" s="7" t="str">
        <f aca="false">IF(COUNT(B19:H19)=0,"",MAX(0,SUM(B19:H19)))</f>
        <v/>
      </c>
      <c r="K19" s="7" t="str">
        <f aca="false">IF(J19="","",IF(I19="Sim",  IF(J19&lt;=56,"I",IF(J19&lt;=123,"II",IF(J19&lt;=202,"III","IV"))),  IF(J19&lt;=50,"I",IF(J19&lt;=110,"II",IF(J19&lt;=180,"III","IV")))))</f>
        <v/>
      </c>
    </row>
    <row r="20" customFormat="false" ht="15" hidden="false" customHeight="false" outlineLevel="0" collapsed="false">
      <c r="A20" s="7" t="str">
        <f aca="false">IF(Protocolos!A20="","",Protocolos!A20)</f>
        <v/>
      </c>
      <c r="B20" s="11"/>
      <c r="C20" s="11"/>
      <c r="D20" s="11"/>
      <c r="E20" s="11"/>
      <c r="F20" s="11"/>
      <c r="G20" s="11"/>
      <c r="H20" s="11"/>
      <c r="I20" s="11"/>
      <c r="J20" s="7" t="str">
        <f aca="false">IF(COUNT(B20:H20)=0,"",MAX(0,SUM(B20:H20)))</f>
        <v/>
      </c>
      <c r="K20" s="7" t="str">
        <f aca="false">IF(J20="","",IF(I20="Sim",  IF(J20&lt;=56,"I",IF(J20&lt;=123,"II",IF(J20&lt;=202,"III","IV"))),  IF(J20&lt;=50,"I",IF(J20&lt;=110,"II",IF(J20&lt;=180,"III","IV")))))</f>
        <v/>
      </c>
    </row>
    <row r="21" customFormat="false" ht="15" hidden="false" customHeight="false" outlineLevel="0" collapsed="false">
      <c r="A21" s="7" t="str">
        <f aca="false">IF(Protocolos!A21="","",Protocolos!A21)</f>
        <v/>
      </c>
      <c r="B21" s="11"/>
      <c r="C21" s="11"/>
      <c r="D21" s="11"/>
      <c r="E21" s="11"/>
      <c r="F21" s="11"/>
      <c r="G21" s="11"/>
      <c r="H21" s="11"/>
      <c r="I21" s="11"/>
      <c r="J21" s="7" t="str">
        <f aca="false">IF(COUNT(B21:H21)=0,"",MAX(0,SUM(B21:H21)))</f>
        <v/>
      </c>
      <c r="K21" s="7" t="str">
        <f aca="false">IF(J21="","",IF(I21="Sim",  IF(J21&lt;=56,"I",IF(J21&lt;=123,"II",IF(J21&lt;=202,"III","IV"))),  IF(J21&lt;=50,"I",IF(J21&lt;=110,"II",IF(J21&lt;=180,"III","IV")))))</f>
        <v/>
      </c>
    </row>
    <row r="22" customFormat="false" ht="15" hidden="false" customHeight="false" outlineLevel="0" collapsed="false">
      <c r="A22" s="7" t="str">
        <f aca="false">IF(Protocolos!A22="","",Protocolos!A22)</f>
        <v/>
      </c>
      <c r="B22" s="11"/>
      <c r="C22" s="11"/>
      <c r="D22" s="11"/>
      <c r="E22" s="11"/>
      <c r="F22" s="11"/>
      <c r="G22" s="11"/>
      <c r="H22" s="11"/>
      <c r="I22" s="11"/>
      <c r="J22" s="7" t="str">
        <f aca="false">IF(COUNT(B22:H22)=0,"",MAX(0,SUM(B22:H22)))</f>
        <v/>
      </c>
      <c r="K22" s="7" t="str">
        <f aca="false">IF(J22="","",IF(I22="Sim",  IF(J22&lt;=56,"I",IF(J22&lt;=123,"II",IF(J22&lt;=202,"III","IV"))),  IF(J22&lt;=50,"I",IF(J22&lt;=110,"II",IF(J22&lt;=180,"III","IV")))))</f>
        <v/>
      </c>
    </row>
    <row r="23" customFormat="false" ht="15" hidden="false" customHeight="false" outlineLevel="0" collapsed="false">
      <c r="A23" s="7" t="str">
        <f aca="false">IF(Protocolos!A23="","",Protocolos!A23)</f>
        <v/>
      </c>
      <c r="B23" s="11"/>
      <c r="C23" s="11"/>
      <c r="D23" s="11"/>
      <c r="E23" s="11"/>
      <c r="F23" s="11"/>
      <c r="G23" s="11"/>
      <c r="H23" s="11"/>
      <c r="I23" s="11"/>
      <c r="J23" s="7" t="str">
        <f aca="false">IF(COUNT(B23:H23)=0,"",MAX(0,SUM(B23:H23)))</f>
        <v/>
      </c>
      <c r="K23" s="7" t="str">
        <f aca="false">IF(J23="","",IF(I23="Sim",  IF(J23&lt;=56,"I",IF(J23&lt;=123,"II",IF(J23&lt;=202,"III","IV"))),  IF(J23&lt;=50,"I",IF(J23&lt;=110,"II",IF(J23&lt;=180,"III","IV")))))</f>
        <v/>
      </c>
    </row>
    <row r="24" customFormat="false" ht="15" hidden="false" customHeight="false" outlineLevel="0" collapsed="false">
      <c r="A24" s="7" t="str">
        <f aca="false">IF(Protocolos!A24="","",Protocolos!A24)</f>
        <v/>
      </c>
      <c r="B24" s="11"/>
      <c r="C24" s="11"/>
      <c r="D24" s="11"/>
      <c r="E24" s="11"/>
      <c r="F24" s="11"/>
      <c r="G24" s="11"/>
      <c r="H24" s="11"/>
      <c r="I24" s="11"/>
      <c r="J24" s="7" t="str">
        <f aca="false">IF(COUNT(B24:H24)=0,"",MAX(0,SUM(B24:H24)))</f>
        <v/>
      </c>
      <c r="K24" s="7" t="str">
        <f aca="false">IF(J24="","",IF(I24="Sim",  IF(J24&lt;=56,"I",IF(J24&lt;=123,"II",IF(J24&lt;=202,"III","IV"))),  IF(J24&lt;=50,"I",IF(J24&lt;=110,"II",IF(J24&lt;=180,"III","IV")))))</f>
        <v/>
      </c>
    </row>
    <row r="25" customFormat="false" ht="15" hidden="false" customHeight="false" outlineLevel="0" collapsed="false">
      <c r="A25" s="7" t="str">
        <f aca="false">IF(Protocolos!A25="","",Protocolos!A25)</f>
        <v/>
      </c>
      <c r="B25" s="11"/>
      <c r="C25" s="11"/>
      <c r="D25" s="11"/>
      <c r="E25" s="11"/>
      <c r="F25" s="11"/>
      <c r="G25" s="11"/>
      <c r="H25" s="11"/>
      <c r="I25" s="11"/>
      <c r="J25" s="7" t="str">
        <f aca="false">IF(COUNT(B25:H25)=0,"",MAX(0,SUM(B25:H25)))</f>
        <v/>
      </c>
      <c r="K25" s="7" t="str">
        <f aca="false">IF(J25="","",IF(I25="Sim",  IF(J25&lt;=56,"I",IF(J25&lt;=123,"II",IF(J25&lt;=202,"III","IV"))),  IF(J25&lt;=50,"I",IF(J25&lt;=110,"II",IF(J25&lt;=180,"III","IV")))))</f>
        <v/>
      </c>
    </row>
    <row r="26" customFormat="false" ht="15" hidden="false" customHeight="false" outlineLevel="0" collapsed="false">
      <c r="A26" s="7" t="str">
        <f aca="false">IF(Protocolos!A26="","",Protocolos!A26)</f>
        <v/>
      </c>
      <c r="B26" s="11"/>
      <c r="C26" s="11"/>
      <c r="D26" s="11"/>
      <c r="E26" s="11"/>
      <c r="F26" s="11"/>
      <c r="G26" s="11"/>
      <c r="H26" s="11"/>
      <c r="I26" s="11"/>
      <c r="J26" s="7" t="str">
        <f aca="false">IF(COUNT(B26:H26)=0,"",MAX(0,SUM(B26:H26)))</f>
        <v/>
      </c>
      <c r="K26" s="7" t="str">
        <f aca="false">IF(J26="","",IF(I26="Sim",  IF(J26&lt;=56,"I",IF(J26&lt;=123,"II",IF(J26&lt;=202,"III","IV"))),  IF(J26&lt;=50,"I",IF(J26&lt;=110,"II",IF(J26&lt;=180,"III","IV")))))</f>
        <v/>
      </c>
    </row>
    <row r="27" customFormat="false" ht="15" hidden="false" customHeight="false" outlineLevel="0" collapsed="false">
      <c r="A27" s="7" t="str">
        <f aca="false">IF(Protocolos!A27="","",Protocolos!A27)</f>
        <v/>
      </c>
      <c r="B27" s="11"/>
      <c r="C27" s="11"/>
      <c r="D27" s="11"/>
      <c r="E27" s="11"/>
      <c r="F27" s="11"/>
      <c r="G27" s="11"/>
      <c r="H27" s="11"/>
      <c r="I27" s="11"/>
      <c r="J27" s="7" t="str">
        <f aca="false">IF(COUNT(B27:H27)=0,"",MAX(0,SUM(B27:H27)))</f>
        <v/>
      </c>
      <c r="K27" s="7" t="str">
        <f aca="false">IF(J27="","",IF(I27="Sim",  IF(J27&lt;=56,"I",IF(J27&lt;=123,"II",IF(J27&lt;=202,"III","IV"))),  IF(J27&lt;=50,"I",IF(J27&lt;=110,"II",IF(J27&lt;=180,"III","IV")))))</f>
        <v/>
      </c>
    </row>
    <row r="28" customFormat="false" ht="15" hidden="false" customHeight="false" outlineLevel="0" collapsed="false">
      <c r="A28" s="7" t="str">
        <f aca="false">IF(Protocolos!A28="","",Protocolos!A28)</f>
        <v/>
      </c>
      <c r="B28" s="11"/>
      <c r="C28" s="11"/>
      <c r="D28" s="11"/>
      <c r="E28" s="11"/>
      <c r="F28" s="11"/>
      <c r="G28" s="11"/>
      <c r="H28" s="11"/>
      <c r="I28" s="11"/>
      <c r="J28" s="7" t="str">
        <f aca="false">IF(COUNT(B28:H28)=0,"",MAX(0,SUM(B28:H28)))</f>
        <v/>
      </c>
      <c r="K28" s="7" t="str">
        <f aca="false">IF(J28="","",IF(I28="Sim",  IF(J28&lt;=56,"I",IF(J28&lt;=123,"II",IF(J28&lt;=202,"III","IV"))),  IF(J28&lt;=50,"I",IF(J28&lt;=110,"II",IF(J28&lt;=180,"III","IV")))))</f>
        <v/>
      </c>
    </row>
    <row r="29" customFormat="false" ht="15" hidden="false" customHeight="false" outlineLevel="0" collapsed="false">
      <c r="A29" s="7" t="str">
        <f aca="false">IF(Protocolos!A29="","",Protocolos!A29)</f>
        <v/>
      </c>
      <c r="B29" s="11"/>
      <c r="C29" s="11"/>
      <c r="D29" s="11"/>
      <c r="E29" s="11"/>
      <c r="F29" s="11"/>
      <c r="G29" s="11"/>
      <c r="H29" s="11"/>
      <c r="I29" s="11"/>
      <c r="J29" s="7" t="str">
        <f aca="false">IF(COUNT(B29:H29)=0,"",MAX(0,SUM(B29:H29)))</f>
        <v/>
      </c>
      <c r="K29" s="7" t="str">
        <f aca="false">IF(J29="","",IF(I29="Sim",  IF(J29&lt;=56,"I",IF(J29&lt;=123,"II",IF(J29&lt;=202,"III","IV"))),  IF(J29&lt;=50,"I",IF(J29&lt;=110,"II",IF(J29&lt;=180,"III","IV")))))</f>
        <v/>
      </c>
    </row>
    <row r="30" customFormat="false" ht="15" hidden="false" customHeight="false" outlineLevel="0" collapsed="false">
      <c r="A30" s="7" t="str">
        <f aca="false">IF(Protocolos!A30="","",Protocolos!A30)</f>
        <v/>
      </c>
      <c r="B30" s="11"/>
      <c r="C30" s="11"/>
      <c r="D30" s="11"/>
      <c r="E30" s="11"/>
      <c r="F30" s="11"/>
      <c r="G30" s="11"/>
      <c r="H30" s="11"/>
      <c r="I30" s="11"/>
      <c r="J30" s="7" t="str">
        <f aca="false">IF(COUNT(B30:H30)=0,"",MAX(0,SUM(B30:H30)))</f>
        <v/>
      </c>
      <c r="K30" s="7" t="str">
        <f aca="false">IF(J30="","",IF(I30="Sim",  IF(J30&lt;=56,"I",IF(J30&lt;=123,"II",IF(J30&lt;=202,"III","IV"))),  IF(J30&lt;=50,"I",IF(J30&lt;=110,"II",IF(J30&lt;=180,"III","IV")))))</f>
        <v/>
      </c>
    </row>
    <row r="31" customFormat="false" ht="15" hidden="false" customHeight="false" outlineLevel="0" collapsed="false">
      <c r="A31" s="7" t="str">
        <f aca="false">IF(Protocolos!A31="","",Protocolos!A31)</f>
        <v/>
      </c>
      <c r="B31" s="11"/>
      <c r="C31" s="11"/>
      <c r="D31" s="11"/>
      <c r="E31" s="11"/>
      <c r="F31" s="11"/>
      <c r="G31" s="11"/>
      <c r="H31" s="11"/>
      <c r="I31" s="11"/>
      <c r="J31" s="7" t="str">
        <f aca="false">IF(COUNT(B31:H31)=0,"",MAX(0,SUM(B31:H31)))</f>
        <v/>
      </c>
      <c r="K31" s="7" t="str">
        <f aca="false">IF(J31="","",IF(I31="Sim",  IF(J31&lt;=56,"I",IF(J31&lt;=123,"II",IF(J31&lt;=202,"III","IV"))),  IF(J31&lt;=50,"I",IF(J31&lt;=110,"II",IF(J31&lt;=180,"III","IV")))))</f>
        <v/>
      </c>
    </row>
    <row r="32" customFormat="false" ht="15" hidden="false" customHeight="false" outlineLevel="0" collapsed="false">
      <c r="A32" s="7" t="str">
        <f aca="false">IF(Protocolos!A32="","",Protocolos!A32)</f>
        <v/>
      </c>
      <c r="B32" s="11"/>
      <c r="C32" s="11"/>
      <c r="D32" s="11"/>
      <c r="E32" s="11"/>
      <c r="F32" s="11"/>
      <c r="G32" s="11"/>
      <c r="H32" s="11"/>
      <c r="I32" s="11"/>
      <c r="J32" s="7" t="str">
        <f aca="false">IF(COUNT(B32:H32)=0,"",MAX(0,SUM(B32:H32)))</f>
        <v/>
      </c>
      <c r="K32" s="7" t="str">
        <f aca="false">IF(J32="","",IF(I32="Sim",  IF(J32&lt;=56,"I",IF(J32&lt;=123,"II",IF(J32&lt;=202,"III","IV"))),  IF(J32&lt;=50,"I",IF(J32&lt;=110,"II",IF(J32&lt;=180,"III","IV")))))</f>
        <v/>
      </c>
    </row>
    <row r="33" customFormat="false" ht="15" hidden="false" customHeight="false" outlineLevel="0" collapsed="false">
      <c r="A33" s="7" t="str">
        <f aca="false">IF(Protocolos!A33="","",Protocolos!A33)</f>
        <v/>
      </c>
      <c r="B33" s="11"/>
      <c r="C33" s="11"/>
      <c r="D33" s="11"/>
      <c r="E33" s="11"/>
      <c r="F33" s="11"/>
      <c r="G33" s="11"/>
      <c r="H33" s="11"/>
      <c r="I33" s="11"/>
      <c r="J33" s="7" t="str">
        <f aca="false">IF(COUNT(B33:H33)=0,"",MAX(0,SUM(B33:H33)))</f>
        <v/>
      </c>
      <c r="K33" s="7" t="str">
        <f aca="false">IF(J33="","",IF(I33="Sim",  IF(J33&lt;=56,"I",IF(J33&lt;=123,"II",IF(J33&lt;=202,"III","IV"))),  IF(J33&lt;=50,"I",IF(J33&lt;=110,"II",IF(J33&lt;=180,"III","IV")))))</f>
        <v/>
      </c>
    </row>
    <row r="34" customFormat="false" ht="15" hidden="false" customHeight="false" outlineLevel="0" collapsed="false">
      <c r="A34" s="7" t="str">
        <f aca="false">IF(Protocolos!A34="","",Protocolos!A34)</f>
        <v/>
      </c>
      <c r="B34" s="11"/>
      <c r="C34" s="11"/>
      <c r="D34" s="11"/>
      <c r="E34" s="11"/>
      <c r="F34" s="11"/>
      <c r="G34" s="11"/>
      <c r="H34" s="11"/>
      <c r="I34" s="11"/>
      <c r="J34" s="7" t="str">
        <f aca="false">IF(COUNT(B34:H34)=0,"",MAX(0,SUM(B34:H34)))</f>
        <v/>
      </c>
      <c r="K34" s="7" t="str">
        <f aca="false">IF(J34="","",IF(I34="Sim",  IF(J34&lt;=56,"I",IF(J34&lt;=123,"II",IF(J34&lt;=202,"III","IV"))),  IF(J34&lt;=50,"I",IF(J34&lt;=110,"II",IF(J34&lt;=180,"III","IV")))))</f>
        <v/>
      </c>
    </row>
    <row r="35" customFormat="false" ht="15" hidden="false" customHeight="false" outlineLevel="0" collapsed="false">
      <c r="A35" s="7" t="str">
        <f aca="false">IF(Protocolos!A35="","",Protocolos!A35)</f>
        <v/>
      </c>
      <c r="B35" s="11"/>
      <c r="C35" s="11"/>
      <c r="D35" s="11"/>
      <c r="E35" s="11"/>
      <c r="F35" s="11"/>
      <c r="G35" s="11"/>
      <c r="H35" s="11"/>
      <c r="I35" s="11"/>
      <c r="J35" s="7" t="str">
        <f aca="false">IF(COUNT(B35:H35)=0,"",MAX(0,SUM(B35:H35)))</f>
        <v/>
      </c>
      <c r="K35" s="7" t="str">
        <f aca="false">IF(J35="","",IF(I35="Sim",  IF(J35&lt;=56,"I",IF(J35&lt;=123,"II",IF(J35&lt;=202,"III","IV"))),  IF(J35&lt;=50,"I",IF(J35&lt;=110,"II",IF(J35&lt;=180,"III","IV")))))</f>
        <v/>
      </c>
    </row>
    <row r="36" customFormat="false" ht="15" hidden="false" customHeight="false" outlineLevel="0" collapsed="false">
      <c r="A36" s="7" t="str">
        <f aca="false">IF(Protocolos!A36="","",Protocolos!A36)</f>
        <v/>
      </c>
      <c r="B36" s="11"/>
      <c r="C36" s="11"/>
      <c r="D36" s="11"/>
      <c r="E36" s="11"/>
      <c r="F36" s="11"/>
      <c r="G36" s="11"/>
      <c r="H36" s="11"/>
      <c r="I36" s="11"/>
      <c r="J36" s="7" t="str">
        <f aca="false">IF(COUNT(B36:H36)=0,"",MAX(0,SUM(B36:H36)))</f>
        <v/>
      </c>
      <c r="K36" s="7" t="str">
        <f aca="false">IF(J36="","",IF(I36="Sim",  IF(J36&lt;=56,"I",IF(J36&lt;=123,"II",IF(J36&lt;=202,"III","IV"))),  IF(J36&lt;=50,"I",IF(J36&lt;=110,"II",IF(J36&lt;=180,"III","IV")))))</f>
        <v/>
      </c>
    </row>
    <row r="37" customFormat="false" ht="15" hidden="false" customHeight="false" outlineLevel="0" collapsed="false">
      <c r="A37" s="7" t="str">
        <f aca="false">IF(Protocolos!A37="","",Protocolos!A37)</f>
        <v/>
      </c>
      <c r="B37" s="11"/>
      <c r="C37" s="11"/>
      <c r="D37" s="11"/>
      <c r="E37" s="11"/>
      <c r="F37" s="11"/>
      <c r="G37" s="11"/>
      <c r="H37" s="11"/>
      <c r="I37" s="11"/>
      <c r="J37" s="7" t="str">
        <f aca="false">IF(COUNT(B37:H37)=0,"",MAX(0,SUM(B37:H37)))</f>
        <v/>
      </c>
      <c r="K37" s="7" t="str">
        <f aca="false">IF(J37="","",IF(I37="Sim",  IF(J37&lt;=56,"I",IF(J37&lt;=123,"II",IF(J37&lt;=202,"III","IV"))),  IF(J37&lt;=50,"I",IF(J37&lt;=110,"II",IF(J37&lt;=180,"III","IV")))))</f>
        <v/>
      </c>
    </row>
    <row r="38" customFormat="false" ht="15" hidden="false" customHeight="false" outlineLevel="0" collapsed="false">
      <c r="A38" s="7" t="str">
        <f aca="false">IF(Protocolos!A38="","",Protocolos!A38)</f>
        <v/>
      </c>
      <c r="B38" s="11"/>
      <c r="C38" s="11"/>
      <c r="D38" s="11"/>
      <c r="E38" s="11"/>
      <c r="F38" s="11"/>
      <c r="G38" s="11"/>
      <c r="H38" s="11"/>
      <c r="I38" s="11"/>
      <c r="J38" s="7" t="str">
        <f aca="false">IF(COUNT(B38:H38)=0,"",MAX(0,SUM(B38:H38)))</f>
        <v/>
      </c>
      <c r="K38" s="7" t="str">
        <f aca="false">IF(J38="","",IF(I38="Sim",  IF(J38&lt;=56,"I",IF(J38&lt;=123,"II",IF(J38&lt;=202,"III","IV"))),  IF(J38&lt;=50,"I",IF(J38&lt;=110,"II",IF(J38&lt;=180,"III","IV")))))</f>
        <v/>
      </c>
    </row>
    <row r="39" customFormat="false" ht="15" hidden="false" customHeight="false" outlineLevel="0" collapsed="false">
      <c r="A39" s="7" t="str">
        <f aca="false">IF(Protocolos!A39="","",Protocolos!A39)</f>
        <v/>
      </c>
      <c r="B39" s="11"/>
      <c r="C39" s="11"/>
      <c r="D39" s="11"/>
      <c r="E39" s="11"/>
      <c r="F39" s="11"/>
      <c r="G39" s="11"/>
      <c r="H39" s="11"/>
      <c r="I39" s="11"/>
      <c r="J39" s="7" t="str">
        <f aca="false">IF(COUNT(B39:H39)=0,"",MAX(0,SUM(B39:H39)))</f>
        <v/>
      </c>
      <c r="K39" s="7" t="str">
        <f aca="false">IF(J39="","",IF(I39="Sim",  IF(J39&lt;=56,"I",IF(J39&lt;=123,"II",IF(J39&lt;=202,"III","IV"))),  IF(J39&lt;=50,"I",IF(J39&lt;=110,"II",IF(J39&lt;=180,"III","IV")))))</f>
        <v/>
      </c>
    </row>
    <row r="40" customFormat="false" ht="15" hidden="false" customHeight="false" outlineLevel="0" collapsed="false">
      <c r="A40" s="7" t="str">
        <f aca="false">IF(Protocolos!A40="","",Protocolos!A40)</f>
        <v/>
      </c>
      <c r="B40" s="11"/>
      <c r="C40" s="11"/>
      <c r="D40" s="11"/>
      <c r="E40" s="11"/>
      <c r="F40" s="11"/>
      <c r="G40" s="11"/>
      <c r="H40" s="11"/>
      <c r="I40" s="11"/>
      <c r="J40" s="7" t="str">
        <f aca="false">IF(COUNT(B40:H40)=0,"",MAX(0,SUM(B40:H40)))</f>
        <v/>
      </c>
      <c r="K40" s="7" t="str">
        <f aca="false">IF(J40="","",IF(I40="Sim",  IF(J40&lt;=56,"I",IF(J40&lt;=123,"II",IF(J40&lt;=202,"III","IV"))),  IF(J40&lt;=50,"I",IF(J40&lt;=110,"II",IF(J40&lt;=180,"III","IV")))))</f>
        <v/>
      </c>
    </row>
    <row r="41" customFormat="false" ht="15" hidden="false" customHeight="false" outlineLevel="0" collapsed="false">
      <c r="A41" s="7" t="str">
        <f aca="false">IF(Protocolos!A41="","",Protocolos!A41)</f>
        <v/>
      </c>
      <c r="B41" s="11"/>
      <c r="C41" s="11"/>
      <c r="D41" s="11"/>
      <c r="E41" s="11"/>
      <c r="F41" s="11"/>
      <c r="G41" s="11"/>
      <c r="H41" s="11"/>
      <c r="I41" s="11"/>
      <c r="J41" s="7" t="str">
        <f aca="false">IF(COUNT(B41:H41)=0,"",MAX(0,SUM(B41:H41)))</f>
        <v/>
      </c>
      <c r="K41" s="7" t="str">
        <f aca="false">IF(J41="","",IF(I41="Sim",  IF(J41&lt;=56,"I",IF(J41&lt;=123,"II",IF(J41&lt;=202,"III","IV"))),  IF(J41&lt;=50,"I",IF(J41&lt;=110,"II",IF(J41&lt;=180,"III","IV")))))</f>
        <v/>
      </c>
    </row>
    <row r="42" customFormat="false" ht="15" hidden="false" customHeight="false" outlineLevel="0" collapsed="false">
      <c r="A42" s="7" t="str">
        <f aca="false">IF(Protocolos!A42="","",Protocolos!A42)</f>
        <v/>
      </c>
      <c r="B42" s="11"/>
      <c r="C42" s="11"/>
      <c r="D42" s="11"/>
      <c r="E42" s="11"/>
      <c r="F42" s="11"/>
      <c r="G42" s="11"/>
      <c r="H42" s="11"/>
      <c r="I42" s="11"/>
      <c r="J42" s="7" t="str">
        <f aca="false">IF(COUNT(B42:H42)=0,"",MAX(0,SUM(B42:H42)))</f>
        <v/>
      </c>
      <c r="K42" s="7" t="str">
        <f aca="false">IF(J42="","",IF(I42="Sim",  IF(J42&lt;=56,"I",IF(J42&lt;=123,"II",IF(J42&lt;=202,"III","IV"))),  IF(J42&lt;=50,"I",IF(J42&lt;=110,"II",IF(J42&lt;=180,"III","IV")))))</f>
        <v/>
      </c>
    </row>
    <row r="43" customFormat="false" ht="15" hidden="false" customHeight="false" outlineLevel="0" collapsed="false">
      <c r="A43" s="7" t="str">
        <f aca="false">IF(Protocolos!A43="","",Protocolos!A43)</f>
        <v/>
      </c>
      <c r="B43" s="11"/>
      <c r="C43" s="11"/>
      <c r="D43" s="11"/>
      <c r="E43" s="11"/>
      <c r="F43" s="11"/>
      <c r="G43" s="11"/>
      <c r="H43" s="11"/>
      <c r="I43" s="11"/>
      <c r="J43" s="7" t="str">
        <f aca="false">IF(COUNT(B43:H43)=0,"",MAX(0,SUM(B43:H43)))</f>
        <v/>
      </c>
      <c r="K43" s="7" t="str">
        <f aca="false">IF(J43="","",IF(I43="Sim",  IF(J43&lt;=56,"I",IF(J43&lt;=123,"II",IF(J43&lt;=202,"III","IV"))),  IF(J43&lt;=50,"I",IF(J43&lt;=110,"II",IF(J43&lt;=180,"III","IV")))))</f>
        <v/>
      </c>
    </row>
    <row r="44" customFormat="false" ht="15" hidden="false" customHeight="false" outlineLevel="0" collapsed="false">
      <c r="A44" s="7" t="str">
        <f aca="false">IF(Protocolos!A44="","",Protocolos!A44)</f>
        <v/>
      </c>
      <c r="B44" s="11"/>
      <c r="C44" s="11"/>
      <c r="D44" s="11"/>
      <c r="E44" s="11"/>
      <c r="F44" s="11"/>
      <c r="G44" s="11"/>
      <c r="H44" s="11"/>
      <c r="I44" s="11"/>
      <c r="J44" s="7" t="str">
        <f aca="false">IF(COUNT(B44:H44)=0,"",MAX(0,SUM(B44:H44)))</f>
        <v/>
      </c>
      <c r="K44" s="7" t="str">
        <f aca="false">IF(J44="","",IF(I44="Sim",  IF(J44&lt;=56,"I",IF(J44&lt;=123,"II",IF(J44&lt;=202,"III","IV"))),  IF(J44&lt;=50,"I",IF(J44&lt;=110,"II",IF(J44&lt;=180,"III","IV")))))</f>
        <v/>
      </c>
    </row>
    <row r="45" customFormat="false" ht="15" hidden="false" customHeight="false" outlineLevel="0" collapsed="false">
      <c r="A45" s="7" t="str">
        <f aca="false">IF(Protocolos!A45="","",Protocolos!A45)</f>
        <v/>
      </c>
      <c r="B45" s="11"/>
      <c r="C45" s="11"/>
      <c r="D45" s="11"/>
      <c r="E45" s="11"/>
      <c r="F45" s="11"/>
      <c r="G45" s="11"/>
      <c r="H45" s="11"/>
      <c r="I45" s="11"/>
      <c r="J45" s="7" t="str">
        <f aca="false">IF(COUNT(B45:H45)=0,"",MAX(0,SUM(B45:H45)))</f>
        <v/>
      </c>
      <c r="K45" s="7" t="str">
        <f aca="false">IF(J45="","",IF(I45="Sim",  IF(J45&lt;=56,"I",IF(J45&lt;=123,"II",IF(J45&lt;=202,"III","IV"))),  IF(J45&lt;=50,"I",IF(J45&lt;=110,"II",IF(J45&lt;=180,"III","IV")))))</f>
        <v/>
      </c>
    </row>
    <row r="46" customFormat="false" ht="15" hidden="false" customHeight="false" outlineLevel="0" collapsed="false">
      <c r="A46" s="7" t="str">
        <f aca="false">IF(Protocolos!A46="","",Protocolos!A46)</f>
        <v/>
      </c>
      <c r="B46" s="11"/>
      <c r="C46" s="11"/>
      <c r="D46" s="11"/>
      <c r="E46" s="11"/>
      <c r="F46" s="11"/>
      <c r="G46" s="11"/>
      <c r="H46" s="11"/>
      <c r="I46" s="11"/>
      <c r="J46" s="7" t="str">
        <f aca="false">IF(COUNT(B46:H46)=0,"",MAX(0,SUM(B46:H46)))</f>
        <v/>
      </c>
      <c r="K46" s="7" t="str">
        <f aca="false">IF(J46="","",IF(I46="Sim",  IF(J46&lt;=56,"I",IF(J46&lt;=123,"II",IF(J46&lt;=202,"III","IV"))),  IF(J46&lt;=50,"I",IF(J46&lt;=110,"II",IF(J46&lt;=180,"III","IV")))))</f>
        <v/>
      </c>
    </row>
    <row r="47" customFormat="false" ht="15" hidden="false" customHeight="false" outlineLevel="0" collapsed="false">
      <c r="A47" s="7" t="str">
        <f aca="false">IF(Protocolos!A47="","",Protocolos!A47)</f>
        <v/>
      </c>
      <c r="B47" s="11"/>
      <c r="C47" s="11"/>
      <c r="D47" s="11"/>
      <c r="E47" s="11"/>
      <c r="F47" s="11"/>
      <c r="G47" s="11"/>
      <c r="H47" s="11"/>
      <c r="I47" s="11"/>
      <c r="J47" s="7" t="str">
        <f aca="false">IF(COUNT(B47:H47)=0,"",MAX(0,SUM(B47:H47)))</f>
        <v/>
      </c>
      <c r="K47" s="7" t="str">
        <f aca="false">IF(J47="","",IF(I47="Sim",  IF(J47&lt;=56,"I",IF(J47&lt;=123,"II",IF(J47&lt;=202,"III","IV"))),  IF(J47&lt;=50,"I",IF(J47&lt;=110,"II",IF(J47&lt;=180,"III","IV")))))</f>
        <v/>
      </c>
    </row>
    <row r="48" customFormat="false" ht="15" hidden="false" customHeight="false" outlineLevel="0" collapsed="false">
      <c r="A48" s="7" t="str">
        <f aca="false">IF(Protocolos!A48="","",Protocolos!A48)</f>
        <v/>
      </c>
      <c r="B48" s="11"/>
      <c r="C48" s="11"/>
      <c r="D48" s="11"/>
      <c r="E48" s="11"/>
      <c r="F48" s="11"/>
      <c r="G48" s="11"/>
      <c r="H48" s="11"/>
      <c r="I48" s="11"/>
      <c r="J48" s="7" t="str">
        <f aca="false">IF(COUNT(B48:H48)=0,"",MAX(0,SUM(B48:H48)))</f>
        <v/>
      </c>
      <c r="K48" s="7" t="str">
        <f aca="false">IF(J48="","",IF(I48="Sim",  IF(J48&lt;=56,"I",IF(J48&lt;=123,"II",IF(J48&lt;=202,"III","IV"))),  IF(J48&lt;=50,"I",IF(J48&lt;=110,"II",IF(J48&lt;=180,"III","IV")))))</f>
        <v/>
      </c>
    </row>
    <row r="49" customFormat="false" ht="15" hidden="false" customHeight="false" outlineLevel="0" collapsed="false">
      <c r="A49" s="7" t="str">
        <f aca="false">IF(Protocolos!A49="","",Protocolos!A49)</f>
        <v/>
      </c>
      <c r="B49" s="11"/>
      <c r="C49" s="11"/>
      <c r="D49" s="11"/>
      <c r="E49" s="11"/>
      <c r="F49" s="11"/>
      <c r="G49" s="11"/>
      <c r="H49" s="11"/>
      <c r="I49" s="11"/>
      <c r="J49" s="7" t="str">
        <f aca="false">IF(COUNT(B49:H49)=0,"",MAX(0,SUM(B49:H49)))</f>
        <v/>
      </c>
      <c r="K49" s="7" t="str">
        <f aca="false">IF(J49="","",IF(I49="Sim",  IF(J49&lt;=56,"I",IF(J49&lt;=123,"II",IF(J49&lt;=202,"III","IV"))),  IF(J49&lt;=50,"I",IF(J49&lt;=110,"II",IF(J49&lt;=180,"III","IV")))))</f>
        <v/>
      </c>
    </row>
    <row r="50" customFormat="false" ht="15" hidden="false" customHeight="false" outlineLevel="0" collapsed="false">
      <c r="A50" s="7" t="str">
        <f aca="false">IF(Protocolos!A50="","",Protocolos!A50)</f>
        <v/>
      </c>
      <c r="B50" s="11"/>
      <c r="C50" s="11"/>
      <c r="D50" s="11"/>
      <c r="E50" s="11"/>
      <c r="F50" s="11"/>
      <c r="G50" s="11"/>
      <c r="H50" s="11"/>
      <c r="I50" s="11"/>
      <c r="J50" s="7" t="str">
        <f aca="false">IF(COUNT(B50:H50)=0,"",MAX(0,SUM(B50:H50)))</f>
        <v/>
      </c>
      <c r="K50" s="7" t="str">
        <f aca="false">IF(J50="","",IF(I50="Sim",  IF(J50&lt;=56,"I",IF(J50&lt;=123,"II",IF(J50&lt;=202,"III","IV"))),  IF(J50&lt;=50,"I",IF(J50&lt;=110,"II",IF(J50&lt;=180,"III","IV")))))</f>
        <v/>
      </c>
    </row>
    <row r="51" customFormat="false" ht="15" hidden="false" customHeight="false" outlineLevel="0" collapsed="false">
      <c r="A51" s="7" t="str">
        <f aca="false">IF(Protocolos!A51="","",Protocolos!A51)</f>
        <v/>
      </c>
      <c r="B51" s="11"/>
      <c r="C51" s="11"/>
      <c r="D51" s="11"/>
      <c r="E51" s="11"/>
      <c r="F51" s="11"/>
      <c r="G51" s="11"/>
      <c r="H51" s="11"/>
      <c r="I51" s="11"/>
      <c r="J51" s="7" t="str">
        <f aca="false">IF(COUNT(B51:H51)=0,"",MAX(0,SUM(B51:H51)))</f>
        <v/>
      </c>
      <c r="K51" s="7" t="str">
        <f aca="false">IF(J51="","",IF(I51="Sim",  IF(J51&lt;=56,"I",IF(J51&lt;=123,"II",IF(J51&lt;=202,"III","IV"))),  IF(J51&lt;=50,"I",IF(J51&lt;=110,"II",IF(J51&lt;=180,"III","IV")))))</f>
        <v/>
      </c>
    </row>
    <row r="52" customFormat="false" ht="15" hidden="false" customHeight="false" outlineLevel="0" collapsed="false">
      <c r="A52" s="7" t="str">
        <f aca="false">IF(Protocolos!A52="","",Protocolos!A52)</f>
        <v/>
      </c>
      <c r="B52" s="11"/>
      <c r="C52" s="11"/>
      <c r="D52" s="11"/>
      <c r="E52" s="11"/>
      <c r="F52" s="11"/>
      <c r="G52" s="11"/>
      <c r="H52" s="11"/>
      <c r="I52" s="11"/>
      <c r="J52" s="7" t="str">
        <f aca="false">IF(COUNT(B52:H52)=0,"",MAX(0,SUM(B52:H52)))</f>
        <v/>
      </c>
      <c r="K52" s="7" t="str">
        <f aca="false">IF(J52="","",IF(I52="Sim",  IF(J52&lt;=56,"I",IF(J52&lt;=123,"II",IF(J52&lt;=202,"III","IV"))),  IF(J52&lt;=50,"I",IF(J52&lt;=110,"II",IF(J52&lt;=180,"III","IV")))))</f>
        <v/>
      </c>
    </row>
    <row r="53" customFormat="false" ht="15" hidden="false" customHeight="false" outlineLevel="0" collapsed="false">
      <c r="A53" s="7" t="str">
        <f aca="false">IF(Protocolos!A53="","",Protocolos!A53)</f>
        <v/>
      </c>
      <c r="B53" s="11"/>
      <c r="C53" s="11"/>
      <c r="D53" s="11"/>
      <c r="E53" s="11"/>
      <c r="F53" s="11"/>
      <c r="G53" s="11"/>
      <c r="H53" s="11"/>
      <c r="I53" s="11"/>
      <c r="J53" s="7" t="str">
        <f aca="false">IF(COUNT(B53:H53)=0,"",MAX(0,SUM(B53:H53)))</f>
        <v/>
      </c>
      <c r="K53" s="7" t="str">
        <f aca="false">IF(J53="","",IF(I53="Sim",  IF(J53&lt;=56,"I",IF(J53&lt;=123,"II",IF(J53&lt;=202,"III","IV"))),  IF(J53&lt;=50,"I",IF(J53&lt;=110,"II",IF(J53&lt;=180,"III","IV")))))</f>
        <v/>
      </c>
    </row>
  </sheetData>
  <mergeCells count="4">
    <mergeCell ref="A1:J1"/>
    <mergeCell ref="A2:J2"/>
    <mergeCell ref="M3:O3"/>
    <mergeCell ref="M11:O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6" min="6" style="0" width="16"/>
    <col collapsed="false" customWidth="true" hidden="false" outlineLevel="0" max="10" min="7" style="0" width="12"/>
  </cols>
  <sheetData>
    <row r="1" customFormat="false" ht="27.75" hidden="false" customHeight="true" outlineLevel="0" collapsed="false">
      <c r="A1" s="4" t="s">
        <v>60</v>
      </c>
      <c r="B1" s="4"/>
      <c r="C1" s="4"/>
      <c r="D1" s="4"/>
    </row>
    <row r="2" customFormat="false" ht="36" hidden="false" customHeight="true" outlineLevel="0" collapsed="false">
      <c r="A2" s="9" t="s">
        <v>61</v>
      </c>
      <c r="B2" s="9"/>
      <c r="C2" s="9"/>
      <c r="D2" s="9"/>
    </row>
    <row r="3" customFormat="false" ht="15" hidden="false" customHeight="false" outlineLevel="0" collapsed="false">
      <c r="A3" s="6" t="s">
        <v>15</v>
      </c>
      <c r="B3" s="6" t="s">
        <v>62</v>
      </c>
      <c r="C3" s="6" t="s">
        <v>63</v>
      </c>
      <c r="D3" s="6" t="s">
        <v>64</v>
      </c>
      <c r="F3" s="10" t="s">
        <v>65</v>
      </c>
      <c r="G3" s="10"/>
      <c r="H3" s="10"/>
      <c r="I3" s="10"/>
      <c r="J3" s="10"/>
    </row>
    <row r="4" customFormat="false" ht="15" hidden="false" customHeight="false" outlineLevel="0" collapsed="false">
      <c r="A4" s="7" t="str">
        <f aca="false">IF(Protocolos!A4="","",Protocolos!A4)</f>
        <v/>
      </c>
      <c r="B4" s="7" t="str">
        <f aca="false">IF('Versão A'!B4="","",'Versão A'!B4)</f>
        <v/>
      </c>
      <c r="C4" s="7" t="str">
        <f aca="false">IFERROR(IF('Versão B'!K4="","",'Versão B'!K4),"")</f>
        <v/>
      </c>
      <c r="D4" s="7" t="str">
        <f aca="false">IF(OR(B4="",C4=""),"",IF(B4=C4,"Sim","Não"))</f>
        <v/>
      </c>
      <c r="G4" s="6" t="s">
        <v>66</v>
      </c>
      <c r="H4" s="6" t="s">
        <v>67</v>
      </c>
      <c r="I4" s="6" t="s">
        <v>68</v>
      </c>
      <c r="J4" s="6" t="s">
        <v>69</v>
      </c>
    </row>
    <row r="5" customFormat="false" ht="15" hidden="false" customHeight="false" outlineLevel="0" collapsed="false">
      <c r="A5" s="7" t="str">
        <f aca="false">IF(Protocolos!A5="","",Protocolos!A5)</f>
        <v/>
      </c>
      <c r="B5" s="7" t="str">
        <f aca="false">IF('Versão A'!B5="","",'Versão A'!B5)</f>
        <v/>
      </c>
      <c r="C5" s="7" t="str">
        <f aca="false">IFERROR(IF('Versão B'!K5="","",'Versão B'!K5),"")</f>
        <v/>
      </c>
      <c r="D5" s="7" t="str">
        <f aca="false">IF(OR(B5="",C5=""),"",IF(B5=C5,"Sim","Não"))</f>
        <v/>
      </c>
      <c r="F5" s="6" t="s">
        <v>70</v>
      </c>
      <c r="G5" s="7" t="n">
        <f aca="false">COUNTIFS(B4:B53,"I",C4:C53,"I")</f>
        <v>0</v>
      </c>
      <c r="H5" s="7" t="n">
        <f aca="false">COUNTIFS(B4:B53,"I",C4:C53,"II")</f>
        <v>0</v>
      </c>
      <c r="I5" s="7" t="n">
        <f aca="false">COUNTIFS(B4:B53,"I",C4:C53,"III")</f>
        <v>0</v>
      </c>
      <c r="J5" s="7" t="n">
        <f aca="false">COUNTIFS(B4:B53,"I",C4:C53,"IV")</f>
        <v>0</v>
      </c>
    </row>
    <row r="6" customFormat="false" ht="15" hidden="false" customHeight="false" outlineLevel="0" collapsed="false">
      <c r="A6" s="7" t="str">
        <f aca="false">IF(Protocolos!A6="","",Protocolos!A6)</f>
        <v/>
      </c>
      <c r="B6" s="7" t="str">
        <f aca="false">IF('Versão A'!B6="","",'Versão A'!B6)</f>
        <v/>
      </c>
      <c r="C6" s="7" t="str">
        <f aca="false">IFERROR(IF('Versão B'!K6="","",'Versão B'!K6),"")</f>
        <v/>
      </c>
      <c r="D6" s="7" t="str">
        <f aca="false">IF(OR(B6="",C6=""),"",IF(B6=C6,"Sim","Não"))</f>
        <v/>
      </c>
      <c r="F6" s="6" t="s">
        <v>71</v>
      </c>
      <c r="G6" s="7" t="n">
        <f aca="false">COUNTIFS(B4:B53,"II",C4:C53,"I")</f>
        <v>0</v>
      </c>
      <c r="H6" s="7" t="n">
        <f aca="false">COUNTIFS(B4:B53,"II",C4:C53,"II")</f>
        <v>0</v>
      </c>
      <c r="I6" s="7" t="n">
        <f aca="false">COUNTIFS(B4:B53,"II",C4:C53,"III")</f>
        <v>0</v>
      </c>
      <c r="J6" s="7" t="n">
        <f aca="false">COUNTIFS(B4:B53,"II",C4:C53,"IV")</f>
        <v>0</v>
      </c>
    </row>
    <row r="7" customFormat="false" ht="15" hidden="false" customHeight="false" outlineLevel="0" collapsed="false">
      <c r="A7" s="7" t="str">
        <f aca="false">IF(Protocolos!A7="","",Protocolos!A7)</f>
        <v/>
      </c>
      <c r="B7" s="7" t="str">
        <f aca="false">IF('Versão A'!B7="","",'Versão A'!B7)</f>
        <v/>
      </c>
      <c r="C7" s="7" t="str">
        <f aca="false">IFERROR(IF('Versão B'!K7="","",'Versão B'!K7),"")</f>
        <v/>
      </c>
      <c r="D7" s="7" t="str">
        <f aca="false">IF(OR(B7="",C7=""),"",IF(B7=C7,"Sim","Não"))</f>
        <v/>
      </c>
      <c r="F7" s="6" t="s">
        <v>72</v>
      </c>
      <c r="G7" s="7" t="n">
        <f aca="false">COUNTIFS(B4:B53,"III",C4:C53,"I")</f>
        <v>0</v>
      </c>
      <c r="H7" s="7" t="n">
        <f aca="false">COUNTIFS(B4:B53,"III",C4:C53,"II")</f>
        <v>0</v>
      </c>
      <c r="I7" s="7" t="n">
        <f aca="false">COUNTIFS(B4:B53,"III",C4:C53,"III")</f>
        <v>0</v>
      </c>
      <c r="J7" s="7" t="n">
        <f aca="false">COUNTIFS(B4:B53,"III",C4:C53,"IV")</f>
        <v>0</v>
      </c>
    </row>
    <row r="8" customFormat="false" ht="15" hidden="false" customHeight="false" outlineLevel="0" collapsed="false">
      <c r="A8" s="7" t="str">
        <f aca="false">IF(Protocolos!A8="","",Protocolos!A8)</f>
        <v/>
      </c>
      <c r="B8" s="7" t="str">
        <f aca="false">IF('Versão A'!B8="","",'Versão A'!B8)</f>
        <v/>
      </c>
      <c r="C8" s="7" t="str">
        <f aca="false">IFERROR(IF('Versão B'!K8="","",'Versão B'!K8),"")</f>
        <v/>
      </c>
      <c r="D8" s="7" t="str">
        <f aca="false">IF(OR(B8="",C8=""),"",IF(B8=C8,"Sim","Não"))</f>
        <v/>
      </c>
      <c r="F8" s="6" t="s">
        <v>73</v>
      </c>
      <c r="G8" s="7" t="n">
        <f aca="false">COUNTIFS(B4:B53,"IV",C4:C53,"I")</f>
        <v>0</v>
      </c>
      <c r="H8" s="7" t="n">
        <f aca="false">COUNTIFS(B4:B53,"IV",C4:C53,"II")</f>
        <v>0</v>
      </c>
      <c r="I8" s="7" t="n">
        <f aca="false">COUNTIFS(B4:B53,"IV",C4:C53,"III")</f>
        <v>0</v>
      </c>
      <c r="J8" s="7" t="n">
        <f aca="false">COUNTIFS(B4:B53,"IV",C4:C53,"IV")</f>
        <v>0</v>
      </c>
    </row>
    <row r="9" customFormat="false" ht="15" hidden="false" customHeight="false" outlineLevel="0" collapsed="false">
      <c r="A9" s="7" t="str">
        <f aca="false">IF(Protocolos!A9="","",Protocolos!A9)</f>
        <v/>
      </c>
      <c r="B9" s="7" t="str">
        <f aca="false">IF('Versão A'!B9="","",'Versão A'!B9)</f>
        <v/>
      </c>
      <c r="C9" s="7" t="str">
        <f aca="false">IFERROR(IF('Versão B'!K9="","",'Versão B'!K9),"")</f>
        <v/>
      </c>
      <c r="D9" s="7" t="str">
        <f aca="false">IF(OR(B9="",C9=""),"",IF(B9=C9,"Sim","Não"))</f>
        <v/>
      </c>
    </row>
    <row r="10" customFormat="false" ht="15" hidden="false" customHeight="false" outlineLevel="0" collapsed="false">
      <c r="A10" s="7" t="str">
        <f aca="false">IF(Protocolos!A10="","",Protocolos!A10)</f>
        <v/>
      </c>
      <c r="B10" s="7" t="str">
        <f aca="false">IF('Versão A'!B10="","",'Versão A'!B10)</f>
        <v/>
      </c>
      <c r="C10" s="7" t="str">
        <f aca="false">IFERROR(IF('Versão B'!K10="","",'Versão B'!K10),"")</f>
        <v/>
      </c>
      <c r="D10" s="7" t="str">
        <f aca="false">IF(OR(B10="",C10=""),"",IF(B10=C10,"Sim","Não"))</f>
        <v/>
      </c>
      <c r="F10" s="6" t="s">
        <v>74</v>
      </c>
      <c r="G10" s="6" t="s">
        <v>75</v>
      </c>
    </row>
    <row r="11" customFormat="false" ht="15" hidden="false" customHeight="false" outlineLevel="0" collapsed="false">
      <c r="A11" s="7" t="str">
        <f aca="false">IF(Protocolos!A11="","",Protocolos!A11)</f>
        <v/>
      </c>
      <c r="B11" s="7" t="str">
        <f aca="false">IF('Versão A'!B11="","",'Versão A'!B11)</f>
        <v/>
      </c>
      <c r="C11" s="7" t="str">
        <f aca="false">IFERROR(IF('Versão B'!K11="","",'Versão B'!K11),"")</f>
        <v/>
      </c>
      <c r="D11" s="7" t="str">
        <f aca="false">IF(OR(B11="",C11=""),"",IF(B11=C11,"Sim","Não"))</f>
        <v/>
      </c>
      <c r="F11" s="11" t="s">
        <v>76</v>
      </c>
      <c r="G11" s="7" t="n">
        <f aca="false">SUMPRODUCT((B4:B53&lt;&gt;"")*(C4:C53&lt;&gt;""))</f>
        <v>0</v>
      </c>
    </row>
    <row r="12" customFormat="false" ht="15" hidden="false" customHeight="false" outlineLevel="0" collapsed="false">
      <c r="A12" s="7" t="str">
        <f aca="false">IF(Protocolos!A12="","",Protocolos!A12)</f>
        <v/>
      </c>
      <c r="B12" s="7" t="str">
        <f aca="false">IF('Versão A'!B12="","",'Versão A'!B12)</f>
        <v/>
      </c>
      <c r="C12" s="7" t="str">
        <f aca="false">IFERROR(IF('Versão B'!K12="","",'Versão B'!K12),"")</f>
        <v/>
      </c>
      <c r="D12" s="7" t="str">
        <f aca="false">IF(OR(B12="",C12=""),"",IF(B12=C12,"Sim","Não"))</f>
        <v/>
      </c>
      <c r="F12" s="11" t="s">
        <v>77</v>
      </c>
      <c r="G12" s="7" t="n">
        <f aca="false">COUNTIF(D4:D53,"Sim")</f>
        <v>0</v>
      </c>
    </row>
    <row r="13" customFormat="false" ht="15" hidden="false" customHeight="false" outlineLevel="0" collapsed="false">
      <c r="A13" s="7" t="str">
        <f aca="false">IF(Protocolos!A13="","",Protocolos!A13)</f>
        <v/>
      </c>
      <c r="B13" s="7" t="str">
        <f aca="false">IF('Versão A'!B13="","",'Versão A'!B13)</f>
        <v/>
      </c>
      <c r="C13" s="7" t="str">
        <f aca="false">IFERROR(IF('Versão B'!K13="","",'Versão B'!K13),"")</f>
        <v/>
      </c>
      <c r="D13" s="7" t="str">
        <f aca="false">IF(OR(B13="",C13=""),"",IF(B13=C13,"Sim","Não"))</f>
        <v/>
      </c>
      <c r="F13" s="11" t="s">
        <v>78</v>
      </c>
      <c r="G13" s="21" t="str">
        <f aca="false">IF(G11=0,"",G12/G11)</f>
        <v/>
      </c>
    </row>
    <row r="14" customFormat="false" ht="15" hidden="false" customHeight="false" outlineLevel="0" collapsed="false">
      <c r="A14" s="7" t="str">
        <f aca="false">IF(Protocolos!A14="","",Protocolos!A14)</f>
        <v/>
      </c>
      <c r="B14" s="7" t="str">
        <f aca="false">IF('Versão A'!B14="","",'Versão A'!B14)</f>
        <v/>
      </c>
      <c r="C14" s="7" t="str">
        <f aca="false">IFERROR(IF('Versão B'!K14="","",'Versão B'!K14),"")</f>
        <v/>
      </c>
      <c r="D14" s="7" t="str">
        <f aca="false">IF(OR(B14="",C14=""),"",IF(B14=C14,"Sim","Não"))</f>
        <v/>
      </c>
    </row>
    <row r="15" customFormat="false" ht="15" hidden="false" customHeight="false" outlineLevel="0" collapsed="false">
      <c r="A15" s="7" t="str">
        <f aca="false">IF(Protocolos!A15="","",Protocolos!A15)</f>
        <v/>
      </c>
      <c r="B15" s="7" t="str">
        <f aca="false">IF('Versão A'!B15="","",'Versão A'!B15)</f>
        <v/>
      </c>
      <c r="C15" s="7" t="str">
        <f aca="false">IFERROR(IF('Versão B'!K15="","",'Versão B'!K15),"")</f>
        <v/>
      </c>
      <c r="D15" s="7" t="str">
        <f aca="false">IF(OR(B15="",C15=""),"",IF(B15=C15,"Sim","Não"))</f>
        <v/>
      </c>
    </row>
    <row r="16" customFormat="false" ht="15" hidden="false" customHeight="false" outlineLevel="0" collapsed="false">
      <c r="A16" s="7" t="str">
        <f aca="false">IF(Protocolos!A16="","",Protocolos!A16)</f>
        <v/>
      </c>
      <c r="B16" s="7" t="str">
        <f aca="false">IF('Versão A'!B16="","",'Versão A'!B16)</f>
        <v/>
      </c>
      <c r="C16" s="7" t="str">
        <f aca="false">IFERROR(IF('Versão B'!K16="","",'Versão B'!K16),"")</f>
        <v/>
      </c>
      <c r="D16" s="7" t="str">
        <f aca="false">IF(OR(B16="",C16=""),"",IF(B16=C16,"Sim","Não"))</f>
        <v/>
      </c>
    </row>
    <row r="17" customFormat="false" ht="15" hidden="false" customHeight="false" outlineLevel="0" collapsed="false">
      <c r="A17" s="7" t="str">
        <f aca="false">IF(Protocolos!A17="","",Protocolos!A17)</f>
        <v/>
      </c>
      <c r="B17" s="7" t="str">
        <f aca="false">IF('Versão A'!B17="","",'Versão A'!B17)</f>
        <v/>
      </c>
      <c r="C17" s="7" t="str">
        <f aca="false">IFERROR(IF('Versão B'!K17="","",'Versão B'!K17),"")</f>
        <v/>
      </c>
      <c r="D17" s="7" t="str">
        <f aca="false">IF(OR(B17="",C17=""),"",IF(B17=C17,"Sim","Não"))</f>
        <v/>
      </c>
    </row>
    <row r="18" customFormat="false" ht="15" hidden="false" customHeight="false" outlineLevel="0" collapsed="false">
      <c r="A18" s="7" t="str">
        <f aca="false">IF(Protocolos!A18="","",Protocolos!A18)</f>
        <v/>
      </c>
      <c r="B18" s="7" t="str">
        <f aca="false">IF('Versão A'!B18="","",'Versão A'!B18)</f>
        <v/>
      </c>
      <c r="C18" s="7" t="str">
        <f aca="false">IFERROR(IF('Versão B'!K18="","",'Versão B'!K18),"")</f>
        <v/>
      </c>
      <c r="D18" s="7" t="str">
        <f aca="false">IF(OR(B18="",C18=""),"",IF(B18=C18,"Sim","Não"))</f>
        <v/>
      </c>
    </row>
    <row r="19" customFormat="false" ht="15" hidden="false" customHeight="false" outlineLevel="0" collapsed="false">
      <c r="A19" s="7" t="str">
        <f aca="false">IF(Protocolos!A19="","",Protocolos!A19)</f>
        <v/>
      </c>
      <c r="B19" s="7" t="str">
        <f aca="false">IF('Versão A'!B19="","",'Versão A'!B19)</f>
        <v/>
      </c>
      <c r="C19" s="7" t="str">
        <f aca="false">IFERROR(IF('Versão B'!K19="","",'Versão B'!K19),"")</f>
        <v/>
      </c>
      <c r="D19" s="7" t="str">
        <f aca="false">IF(OR(B19="",C19=""),"",IF(B19=C19,"Sim","Não"))</f>
        <v/>
      </c>
    </row>
    <row r="20" customFormat="false" ht="15" hidden="false" customHeight="false" outlineLevel="0" collapsed="false">
      <c r="A20" s="7" t="str">
        <f aca="false">IF(Protocolos!A20="","",Protocolos!A20)</f>
        <v/>
      </c>
      <c r="B20" s="7" t="str">
        <f aca="false">IF('Versão A'!B20="","",'Versão A'!B20)</f>
        <v/>
      </c>
      <c r="C20" s="7" t="str">
        <f aca="false">IFERROR(IF('Versão B'!K20="","",'Versão B'!K20),"")</f>
        <v/>
      </c>
      <c r="D20" s="7" t="str">
        <f aca="false">IF(OR(B20="",C20=""),"",IF(B20=C20,"Sim","Não"))</f>
        <v/>
      </c>
    </row>
    <row r="21" customFormat="false" ht="15" hidden="false" customHeight="false" outlineLevel="0" collapsed="false">
      <c r="A21" s="7" t="str">
        <f aca="false">IF(Protocolos!A21="","",Protocolos!A21)</f>
        <v/>
      </c>
      <c r="B21" s="7" t="str">
        <f aca="false">IF('Versão A'!B21="","",'Versão A'!B21)</f>
        <v/>
      </c>
      <c r="C21" s="7" t="str">
        <f aca="false">IFERROR(IF('Versão B'!K21="","",'Versão B'!K21),"")</f>
        <v/>
      </c>
      <c r="D21" s="7" t="str">
        <f aca="false">IF(OR(B21="",C21=""),"",IF(B21=C21,"Sim","Não"))</f>
        <v/>
      </c>
    </row>
    <row r="22" customFormat="false" ht="15" hidden="false" customHeight="false" outlineLevel="0" collapsed="false">
      <c r="A22" s="7" t="str">
        <f aca="false">IF(Protocolos!A22="","",Protocolos!A22)</f>
        <v/>
      </c>
      <c r="B22" s="7" t="str">
        <f aca="false">IF('Versão A'!B22="","",'Versão A'!B22)</f>
        <v/>
      </c>
      <c r="C22" s="7" t="str">
        <f aca="false">IFERROR(IF('Versão B'!K22="","",'Versão B'!K22),"")</f>
        <v/>
      </c>
      <c r="D22" s="7" t="str">
        <f aca="false">IF(OR(B22="",C22=""),"",IF(B22=C22,"Sim","Não"))</f>
        <v/>
      </c>
    </row>
    <row r="23" customFormat="false" ht="15" hidden="false" customHeight="false" outlineLevel="0" collapsed="false">
      <c r="A23" s="7" t="str">
        <f aca="false">IF(Protocolos!A23="","",Protocolos!A23)</f>
        <v/>
      </c>
      <c r="B23" s="7" t="str">
        <f aca="false">IF('Versão A'!B23="","",'Versão A'!B23)</f>
        <v/>
      </c>
      <c r="C23" s="7" t="str">
        <f aca="false">IFERROR(IF('Versão B'!K23="","",'Versão B'!K23),"")</f>
        <v/>
      </c>
      <c r="D23" s="7" t="str">
        <f aca="false">IF(OR(B23="",C23=""),"",IF(B23=C23,"Sim","Não"))</f>
        <v/>
      </c>
    </row>
    <row r="24" customFormat="false" ht="15" hidden="false" customHeight="false" outlineLevel="0" collapsed="false">
      <c r="A24" s="7" t="str">
        <f aca="false">IF(Protocolos!A24="","",Protocolos!A24)</f>
        <v/>
      </c>
      <c r="B24" s="7" t="str">
        <f aca="false">IF('Versão A'!B24="","",'Versão A'!B24)</f>
        <v/>
      </c>
      <c r="C24" s="7" t="str">
        <f aca="false">IFERROR(IF('Versão B'!K24="","",'Versão B'!K24),"")</f>
        <v/>
      </c>
      <c r="D24" s="7" t="str">
        <f aca="false">IF(OR(B24="",C24=""),"",IF(B24=C24,"Sim","Não"))</f>
        <v/>
      </c>
    </row>
    <row r="25" customFormat="false" ht="15" hidden="false" customHeight="false" outlineLevel="0" collapsed="false">
      <c r="A25" s="7" t="str">
        <f aca="false">IF(Protocolos!A25="","",Protocolos!A25)</f>
        <v/>
      </c>
      <c r="B25" s="7" t="str">
        <f aca="false">IF('Versão A'!B25="","",'Versão A'!B25)</f>
        <v/>
      </c>
      <c r="C25" s="7" t="str">
        <f aca="false">IFERROR(IF('Versão B'!K25="","",'Versão B'!K25),"")</f>
        <v/>
      </c>
      <c r="D25" s="7" t="str">
        <f aca="false">IF(OR(B25="",C25=""),"",IF(B25=C25,"Sim","Não"))</f>
        <v/>
      </c>
    </row>
    <row r="26" customFormat="false" ht="15" hidden="false" customHeight="false" outlineLevel="0" collapsed="false">
      <c r="A26" s="7" t="str">
        <f aca="false">IF(Protocolos!A26="","",Protocolos!A26)</f>
        <v/>
      </c>
      <c r="B26" s="7" t="str">
        <f aca="false">IF('Versão A'!B26="","",'Versão A'!B26)</f>
        <v/>
      </c>
      <c r="C26" s="7" t="str">
        <f aca="false">IFERROR(IF('Versão B'!K26="","",'Versão B'!K26),"")</f>
        <v/>
      </c>
      <c r="D26" s="7" t="str">
        <f aca="false">IF(OR(B26="",C26=""),"",IF(B26=C26,"Sim","Não"))</f>
        <v/>
      </c>
    </row>
    <row r="27" customFormat="false" ht="15" hidden="false" customHeight="false" outlineLevel="0" collapsed="false">
      <c r="A27" s="7" t="str">
        <f aca="false">IF(Protocolos!A27="","",Protocolos!A27)</f>
        <v/>
      </c>
      <c r="B27" s="7" t="str">
        <f aca="false">IF('Versão A'!B27="","",'Versão A'!B27)</f>
        <v/>
      </c>
      <c r="C27" s="7" t="str">
        <f aca="false">IFERROR(IF('Versão B'!K27="","",'Versão B'!K27),"")</f>
        <v/>
      </c>
      <c r="D27" s="7" t="str">
        <f aca="false">IF(OR(B27="",C27=""),"",IF(B27=C27,"Sim","Não"))</f>
        <v/>
      </c>
    </row>
    <row r="28" customFormat="false" ht="15" hidden="false" customHeight="false" outlineLevel="0" collapsed="false">
      <c r="A28" s="7" t="str">
        <f aca="false">IF(Protocolos!A28="","",Protocolos!A28)</f>
        <v/>
      </c>
      <c r="B28" s="7" t="str">
        <f aca="false">IF('Versão A'!B28="","",'Versão A'!B28)</f>
        <v/>
      </c>
      <c r="C28" s="7" t="str">
        <f aca="false">IFERROR(IF('Versão B'!K28="","",'Versão B'!K28),"")</f>
        <v/>
      </c>
      <c r="D28" s="7" t="str">
        <f aca="false">IF(OR(B28="",C28=""),"",IF(B28=C28,"Sim","Não"))</f>
        <v/>
      </c>
    </row>
    <row r="29" customFormat="false" ht="15" hidden="false" customHeight="false" outlineLevel="0" collapsed="false">
      <c r="A29" s="7" t="str">
        <f aca="false">IF(Protocolos!A29="","",Protocolos!A29)</f>
        <v/>
      </c>
      <c r="B29" s="7" t="str">
        <f aca="false">IF('Versão A'!B29="","",'Versão A'!B29)</f>
        <v/>
      </c>
      <c r="C29" s="7" t="str">
        <f aca="false">IFERROR(IF('Versão B'!K29="","",'Versão B'!K29),"")</f>
        <v/>
      </c>
      <c r="D29" s="7" t="str">
        <f aca="false">IF(OR(B29="",C29=""),"",IF(B29=C29,"Sim","Não"))</f>
        <v/>
      </c>
    </row>
    <row r="30" customFormat="false" ht="15" hidden="false" customHeight="false" outlineLevel="0" collapsed="false">
      <c r="A30" s="7" t="str">
        <f aca="false">IF(Protocolos!A30="","",Protocolos!A30)</f>
        <v/>
      </c>
      <c r="B30" s="7" t="str">
        <f aca="false">IF('Versão A'!B30="","",'Versão A'!B30)</f>
        <v/>
      </c>
      <c r="C30" s="7" t="str">
        <f aca="false">IFERROR(IF('Versão B'!K30="","",'Versão B'!K30),"")</f>
        <v/>
      </c>
      <c r="D30" s="7" t="str">
        <f aca="false">IF(OR(B30="",C30=""),"",IF(B30=C30,"Sim","Não"))</f>
        <v/>
      </c>
    </row>
    <row r="31" customFormat="false" ht="15" hidden="false" customHeight="false" outlineLevel="0" collapsed="false">
      <c r="A31" s="7" t="str">
        <f aca="false">IF(Protocolos!A31="","",Protocolos!A31)</f>
        <v/>
      </c>
      <c r="B31" s="7" t="str">
        <f aca="false">IF('Versão A'!B31="","",'Versão A'!B31)</f>
        <v/>
      </c>
      <c r="C31" s="7" t="str">
        <f aca="false">IFERROR(IF('Versão B'!K31="","",'Versão B'!K31),"")</f>
        <v/>
      </c>
      <c r="D31" s="7" t="str">
        <f aca="false">IF(OR(B31="",C31=""),"",IF(B31=C31,"Sim","Não"))</f>
        <v/>
      </c>
    </row>
    <row r="32" customFormat="false" ht="15" hidden="false" customHeight="false" outlineLevel="0" collapsed="false">
      <c r="A32" s="7" t="str">
        <f aca="false">IF(Protocolos!A32="","",Protocolos!A32)</f>
        <v/>
      </c>
      <c r="B32" s="7" t="str">
        <f aca="false">IF('Versão A'!B32="","",'Versão A'!B32)</f>
        <v/>
      </c>
      <c r="C32" s="7" t="str">
        <f aca="false">IFERROR(IF('Versão B'!K32="","",'Versão B'!K32),"")</f>
        <v/>
      </c>
      <c r="D32" s="7" t="str">
        <f aca="false">IF(OR(B32="",C32=""),"",IF(B32=C32,"Sim","Não"))</f>
        <v/>
      </c>
    </row>
    <row r="33" customFormat="false" ht="15" hidden="false" customHeight="false" outlineLevel="0" collapsed="false">
      <c r="A33" s="7" t="str">
        <f aca="false">IF(Protocolos!A33="","",Protocolos!A33)</f>
        <v/>
      </c>
      <c r="B33" s="7" t="str">
        <f aca="false">IF('Versão A'!B33="","",'Versão A'!B33)</f>
        <v/>
      </c>
      <c r="C33" s="7" t="str">
        <f aca="false">IFERROR(IF('Versão B'!K33="","",'Versão B'!K33),"")</f>
        <v/>
      </c>
      <c r="D33" s="7" t="str">
        <f aca="false">IF(OR(B33="",C33=""),"",IF(B33=C33,"Sim","Não"))</f>
        <v/>
      </c>
    </row>
    <row r="34" customFormat="false" ht="15" hidden="false" customHeight="false" outlineLevel="0" collapsed="false">
      <c r="A34" s="7" t="str">
        <f aca="false">IF(Protocolos!A34="","",Protocolos!A34)</f>
        <v/>
      </c>
      <c r="B34" s="7" t="str">
        <f aca="false">IF('Versão A'!B34="","",'Versão A'!B34)</f>
        <v/>
      </c>
      <c r="C34" s="7" t="str">
        <f aca="false">IFERROR(IF('Versão B'!K34="","",'Versão B'!K34),"")</f>
        <v/>
      </c>
      <c r="D34" s="7" t="str">
        <f aca="false">IF(OR(B34="",C34=""),"",IF(B34=C34,"Sim","Não"))</f>
        <v/>
      </c>
    </row>
    <row r="35" customFormat="false" ht="15" hidden="false" customHeight="false" outlineLevel="0" collapsed="false">
      <c r="A35" s="7" t="str">
        <f aca="false">IF(Protocolos!A35="","",Protocolos!A35)</f>
        <v/>
      </c>
      <c r="B35" s="7" t="str">
        <f aca="false">IF('Versão A'!B35="","",'Versão A'!B35)</f>
        <v/>
      </c>
      <c r="C35" s="7" t="str">
        <f aca="false">IFERROR(IF('Versão B'!K35="","",'Versão B'!K35),"")</f>
        <v/>
      </c>
      <c r="D35" s="7" t="str">
        <f aca="false">IF(OR(B35="",C35=""),"",IF(B35=C35,"Sim","Não"))</f>
        <v/>
      </c>
    </row>
    <row r="36" customFormat="false" ht="15" hidden="false" customHeight="false" outlineLevel="0" collapsed="false">
      <c r="A36" s="7" t="str">
        <f aca="false">IF(Protocolos!A36="","",Protocolos!A36)</f>
        <v/>
      </c>
      <c r="B36" s="7" t="str">
        <f aca="false">IF('Versão A'!B36="","",'Versão A'!B36)</f>
        <v/>
      </c>
      <c r="C36" s="7" t="str">
        <f aca="false">IFERROR(IF('Versão B'!K36="","",'Versão B'!K36),"")</f>
        <v/>
      </c>
      <c r="D36" s="7" t="str">
        <f aca="false">IF(OR(B36="",C36=""),"",IF(B36=C36,"Sim","Não"))</f>
        <v/>
      </c>
    </row>
    <row r="37" customFormat="false" ht="15" hidden="false" customHeight="false" outlineLevel="0" collapsed="false">
      <c r="A37" s="7" t="str">
        <f aca="false">IF(Protocolos!A37="","",Protocolos!A37)</f>
        <v/>
      </c>
      <c r="B37" s="7" t="str">
        <f aca="false">IF('Versão A'!B37="","",'Versão A'!B37)</f>
        <v/>
      </c>
      <c r="C37" s="7" t="str">
        <f aca="false">IFERROR(IF('Versão B'!K37="","",'Versão B'!K37),"")</f>
        <v/>
      </c>
      <c r="D37" s="7" t="str">
        <f aca="false">IF(OR(B37="",C37=""),"",IF(B37=C37,"Sim","Não"))</f>
        <v/>
      </c>
    </row>
    <row r="38" customFormat="false" ht="15" hidden="false" customHeight="false" outlineLevel="0" collapsed="false">
      <c r="A38" s="7" t="str">
        <f aca="false">IF(Protocolos!A38="","",Protocolos!A38)</f>
        <v/>
      </c>
      <c r="B38" s="7" t="str">
        <f aca="false">IF('Versão A'!B38="","",'Versão A'!B38)</f>
        <v/>
      </c>
      <c r="C38" s="7" t="str">
        <f aca="false">IFERROR(IF('Versão B'!K38="","",'Versão B'!K38),"")</f>
        <v/>
      </c>
      <c r="D38" s="7" t="str">
        <f aca="false">IF(OR(B38="",C38=""),"",IF(B38=C38,"Sim","Não"))</f>
        <v/>
      </c>
    </row>
    <row r="39" customFormat="false" ht="15" hidden="false" customHeight="false" outlineLevel="0" collapsed="false">
      <c r="A39" s="7" t="str">
        <f aca="false">IF(Protocolos!A39="","",Protocolos!A39)</f>
        <v/>
      </c>
      <c r="B39" s="7" t="str">
        <f aca="false">IF('Versão A'!B39="","",'Versão A'!B39)</f>
        <v/>
      </c>
      <c r="C39" s="7" t="str">
        <f aca="false">IFERROR(IF('Versão B'!K39="","",'Versão B'!K39),"")</f>
        <v/>
      </c>
      <c r="D39" s="7" t="str">
        <f aca="false">IF(OR(B39="",C39=""),"",IF(B39=C39,"Sim","Não"))</f>
        <v/>
      </c>
    </row>
    <row r="40" customFormat="false" ht="15" hidden="false" customHeight="false" outlineLevel="0" collapsed="false">
      <c r="A40" s="7" t="str">
        <f aca="false">IF(Protocolos!A40="","",Protocolos!A40)</f>
        <v/>
      </c>
      <c r="B40" s="7" t="str">
        <f aca="false">IF('Versão A'!B40="","",'Versão A'!B40)</f>
        <v/>
      </c>
      <c r="C40" s="7" t="str">
        <f aca="false">IFERROR(IF('Versão B'!K40="","",'Versão B'!K40),"")</f>
        <v/>
      </c>
      <c r="D40" s="7" t="str">
        <f aca="false">IF(OR(B40="",C40=""),"",IF(B40=C40,"Sim","Não"))</f>
        <v/>
      </c>
    </row>
    <row r="41" customFormat="false" ht="15" hidden="false" customHeight="false" outlineLevel="0" collapsed="false">
      <c r="A41" s="7" t="str">
        <f aca="false">IF(Protocolos!A41="","",Protocolos!A41)</f>
        <v/>
      </c>
      <c r="B41" s="7" t="str">
        <f aca="false">IF('Versão A'!B41="","",'Versão A'!B41)</f>
        <v/>
      </c>
      <c r="C41" s="7" t="str">
        <f aca="false">IFERROR(IF('Versão B'!K41="","",'Versão B'!K41),"")</f>
        <v/>
      </c>
      <c r="D41" s="7" t="str">
        <f aca="false">IF(OR(B41="",C41=""),"",IF(B41=C41,"Sim","Não"))</f>
        <v/>
      </c>
    </row>
    <row r="42" customFormat="false" ht="15" hidden="false" customHeight="false" outlineLevel="0" collapsed="false">
      <c r="A42" s="7" t="str">
        <f aca="false">IF(Protocolos!A42="","",Protocolos!A42)</f>
        <v/>
      </c>
      <c r="B42" s="7" t="str">
        <f aca="false">IF('Versão A'!B42="","",'Versão A'!B42)</f>
        <v/>
      </c>
      <c r="C42" s="7" t="str">
        <f aca="false">IFERROR(IF('Versão B'!K42="","",'Versão B'!K42),"")</f>
        <v/>
      </c>
      <c r="D42" s="7" t="str">
        <f aca="false">IF(OR(B42="",C42=""),"",IF(B42=C42,"Sim","Não"))</f>
        <v/>
      </c>
    </row>
    <row r="43" customFormat="false" ht="15" hidden="false" customHeight="false" outlineLevel="0" collapsed="false">
      <c r="A43" s="7" t="str">
        <f aca="false">IF(Protocolos!A43="","",Protocolos!A43)</f>
        <v/>
      </c>
      <c r="B43" s="7" t="str">
        <f aca="false">IF('Versão A'!B43="","",'Versão A'!B43)</f>
        <v/>
      </c>
      <c r="C43" s="7" t="str">
        <f aca="false">IFERROR(IF('Versão B'!K43="","",'Versão B'!K43),"")</f>
        <v/>
      </c>
      <c r="D43" s="7" t="str">
        <f aca="false">IF(OR(B43="",C43=""),"",IF(B43=C43,"Sim","Não"))</f>
        <v/>
      </c>
    </row>
    <row r="44" customFormat="false" ht="15" hidden="false" customHeight="false" outlineLevel="0" collapsed="false">
      <c r="A44" s="7" t="str">
        <f aca="false">IF(Protocolos!A44="","",Protocolos!A44)</f>
        <v/>
      </c>
      <c r="B44" s="7" t="str">
        <f aca="false">IF('Versão A'!B44="","",'Versão A'!B44)</f>
        <v/>
      </c>
      <c r="C44" s="7" t="str">
        <f aca="false">IFERROR(IF('Versão B'!K44="","",'Versão B'!K44),"")</f>
        <v/>
      </c>
      <c r="D44" s="7" t="str">
        <f aca="false">IF(OR(B44="",C44=""),"",IF(B44=C44,"Sim","Não"))</f>
        <v/>
      </c>
    </row>
    <row r="45" customFormat="false" ht="15" hidden="false" customHeight="false" outlineLevel="0" collapsed="false">
      <c r="A45" s="7" t="str">
        <f aca="false">IF(Protocolos!A45="","",Protocolos!A45)</f>
        <v/>
      </c>
      <c r="B45" s="7" t="str">
        <f aca="false">IF('Versão A'!B45="","",'Versão A'!B45)</f>
        <v/>
      </c>
      <c r="C45" s="7" t="str">
        <f aca="false">IFERROR(IF('Versão B'!K45="","",'Versão B'!K45),"")</f>
        <v/>
      </c>
      <c r="D45" s="7" t="str">
        <f aca="false">IF(OR(B45="",C45=""),"",IF(B45=C45,"Sim","Não"))</f>
        <v/>
      </c>
    </row>
    <row r="46" customFormat="false" ht="15" hidden="false" customHeight="false" outlineLevel="0" collapsed="false">
      <c r="A46" s="7" t="str">
        <f aca="false">IF(Protocolos!A46="","",Protocolos!A46)</f>
        <v/>
      </c>
      <c r="B46" s="7" t="str">
        <f aca="false">IF('Versão A'!B46="","",'Versão A'!B46)</f>
        <v/>
      </c>
      <c r="C46" s="7" t="str">
        <f aca="false">IFERROR(IF('Versão B'!K46="","",'Versão B'!K46),"")</f>
        <v/>
      </c>
      <c r="D46" s="7" t="str">
        <f aca="false">IF(OR(B46="",C46=""),"",IF(B46=C46,"Sim","Não"))</f>
        <v/>
      </c>
    </row>
    <row r="47" customFormat="false" ht="15" hidden="false" customHeight="false" outlineLevel="0" collapsed="false">
      <c r="A47" s="7" t="str">
        <f aca="false">IF(Protocolos!A47="","",Protocolos!A47)</f>
        <v/>
      </c>
      <c r="B47" s="7" t="str">
        <f aca="false">IF('Versão A'!B47="","",'Versão A'!B47)</f>
        <v/>
      </c>
      <c r="C47" s="7" t="str">
        <f aca="false">IFERROR(IF('Versão B'!K47="","",'Versão B'!K47),"")</f>
        <v/>
      </c>
      <c r="D47" s="7" t="str">
        <f aca="false">IF(OR(B47="",C47=""),"",IF(B47=C47,"Sim","Não"))</f>
        <v/>
      </c>
    </row>
    <row r="48" customFormat="false" ht="15" hidden="false" customHeight="false" outlineLevel="0" collapsed="false">
      <c r="A48" s="7" t="str">
        <f aca="false">IF(Protocolos!A48="","",Protocolos!A48)</f>
        <v/>
      </c>
      <c r="B48" s="7" t="str">
        <f aca="false">IF('Versão A'!B48="","",'Versão A'!B48)</f>
        <v/>
      </c>
      <c r="C48" s="7" t="str">
        <f aca="false">IFERROR(IF('Versão B'!K48="","",'Versão B'!K48),"")</f>
        <v/>
      </c>
      <c r="D48" s="7" t="str">
        <f aca="false">IF(OR(B48="",C48=""),"",IF(B48=C48,"Sim","Não"))</f>
        <v/>
      </c>
    </row>
    <row r="49" customFormat="false" ht="15" hidden="false" customHeight="false" outlineLevel="0" collapsed="false">
      <c r="A49" s="7" t="str">
        <f aca="false">IF(Protocolos!A49="","",Protocolos!A49)</f>
        <v/>
      </c>
      <c r="B49" s="7" t="str">
        <f aca="false">IF('Versão A'!B49="","",'Versão A'!B49)</f>
        <v/>
      </c>
      <c r="C49" s="7" t="str">
        <f aca="false">IFERROR(IF('Versão B'!K49="","",'Versão B'!K49),"")</f>
        <v/>
      </c>
      <c r="D49" s="7" t="str">
        <f aca="false">IF(OR(B49="",C49=""),"",IF(B49=C49,"Sim","Não"))</f>
        <v/>
      </c>
    </row>
    <row r="50" customFormat="false" ht="15" hidden="false" customHeight="false" outlineLevel="0" collapsed="false">
      <c r="A50" s="7" t="str">
        <f aca="false">IF(Protocolos!A50="","",Protocolos!A50)</f>
        <v/>
      </c>
      <c r="B50" s="7" t="str">
        <f aca="false">IF('Versão A'!B50="","",'Versão A'!B50)</f>
        <v/>
      </c>
      <c r="C50" s="7" t="str">
        <f aca="false">IFERROR(IF('Versão B'!K50="","",'Versão B'!K50),"")</f>
        <v/>
      </c>
      <c r="D50" s="7" t="str">
        <f aca="false">IF(OR(B50="",C50=""),"",IF(B50=C50,"Sim","Não"))</f>
        <v/>
      </c>
    </row>
    <row r="51" customFormat="false" ht="15" hidden="false" customHeight="false" outlineLevel="0" collapsed="false">
      <c r="A51" s="7" t="str">
        <f aca="false">IF(Protocolos!A51="","",Protocolos!A51)</f>
        <v/>
      </c>
      <c r="B51" s="7" t="str">
        <f aca="false">IF('Versão A'!B51="","",'Versão A'!B51)</f>
        <v/>
      </c>
      <c r="C51" s="7" t="str">
        <f aca="false">IFERROR(IF('Versão B'!K51="","",'Versão B'!K51),"")</f>
        <v/>
      </c>
      <c r="D51" s="7" t="str">
        <f aca="false">IF(OR(B51="",C51=""),"",IF(B51=C51,"Sim","Não"))</f>
        <v/>
      </c>
    </row>
    <row r="52" customFormat="false" ht="15" hidden="false" customHeight="false" outlineLevel="0" collapsed="false">
      <c r="A52" s="7" t="str">
        <f aca="false">IF(Protocolos!A52="","",Protocolos!A52)</f>
        <v/>
      </c>
      <c r="B52" s="7" t="str">
        <f aca="false">IF('Versão A'!B52="","",'Versão A'!B52)</f>
        <v/>
      </c>
      <c r="C52" s="7" t="str">
        <f aca="false">IFERROR(IF('Versão B'!K52="","",'Versão B'!K52),"")</f>
        <v/>
      </c>
      <c r="D52" s="7" t="str">
        <f aca="false">IF(OR(B52="",C52=""),"",IF(B52=C52,"Sim","Não"))</f>
        <v/>
      </c>
    </row>
    <row r="53" customFormat="false" ht="15" hidden="false" customHeight="false" outlineLevel="0" collapsed="false">
      <c r="A53" s="7" t="str">
        <f aca="false">IF(Protocolos!A53="","",Protocolos!A53)</f>
        <v/>
      </c>
      <c r="B53" s="7" t="str">
        <f aca="false">IF('Versão A'!B53="","",'Versão A'!B53)</f>
        <v/>
      </c>
      <c r="C53" s="7" t="str">
        <f aca="false">IFERROR(IF('Versão B'!K53="","",'Versão B'!K53),"")</f>
        <v/>
      </c>
      <c r="D53" s="7" t="str">
        <f aca="false">IF(OR(B53="",C53=""),"",IF(B53=C53,"Sim","Não"))</f>
        <v/>
      </c>
    </row>
  </sheetData>
  <mergeCells count="3">
    <mergeCell ref="A1:D1"/>
    <mergeCell ref="A2:D2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4" t="s">
        <v>79</v>
      </c>
      <c r="B1" s="4"/>
      <c r="C1" s="4"/>
    </row>
    <row r="2" customFormat="false" ht="48" hidden="false" customHeight="true" outlineLevel="0" collapsed="false">
      <c r="A2" s="9" t="s">
        <v>80</v>
      </c>
      <c r="B2" s="9"/>
      <c r="C2" s="9"/>
    </row>
    <row r="4" customFormat="false" ht="15" hidden="false" customHeight="true" outlineLevel="0" collapsed="false">
      <c r="A4" s="22" t="s">
        <v>81</v>
      </c>
      <c r="B4" s="22"/>
      <c r="C4" s="22"/>
    </row>
    <row r="5" customFormat="false" ht="15" hidden="false" customHeight="false" outlineLevel="0" collapsed="false">
      <c r="A5" s="23" t="s">
        <v>27</v>
      </c>
      <c r="B5" s="7" t="n">
        <f aca="false">'Versão A'!H4</f>
        <v>0</v>
      </c>
      <c r="C5" s="24"/>
    </row>
    <row r="6" customFormat="false" ht="15" hidden="false" customHeight="false" outlineLevel="0" collapsed="false">
      <c r="A6" s="23" t="s">
        <v>82</v>
      </c>
      <c r="B6" s="13" t="str">
        <f aca="false">'Versão A'!H7</f>
        <v/>
      </c>
      <c r="C6" s="24"/>
    </row>
    <row r="7" customFormat="false" ht="35.05" hidden="false" customHeight="false" outlineLevel="0" collapsed="false">
      <c r="A7" s="23" t="s">
        <v>32</v>
      </c>
      <c r="B7" s="14" t="str">
        <f aca="false">'Versão A'!H9</f>
        <v/>
      </c>
      <c r="C7" s="24" t="s">
        <v>83</v>
      </c>
    </row>
    <row r="8" customFormat="false" ht="15" hidden="false" customHeight="false" outlineLevel="0" collapsed="false">
      <c r="A8" s="23" t="s">
        <v>33</v>
      </c>
      <c r="B8" s="15" t="str">
        <f aca="false">'Versão A'!H10</f>
        <v/>
      </c>
      <c r="C8" s="24"/>
    </row>
    <row r="10" customFormat="false" ht="15" hidden="false" customHeight="true" outlineLevel="0" collapsed="false">
      <c r="A10" s="22" t="s">
        <v>84</v>
      </c>
      <c r="B10" s="22"/>
      <c r="C10" s="22"/>
    </row>
    <row r="11" customFormat="false" ht="15" hidden="false" customHeight="false" outlineLevel="0" collapsed="false">
      <c r="A11" s="23" t="s">
        <v>85</v>
      </c>
      <c r="B11" s="7" t="n">
        <f aca="false">'Versão B'!N9</f>
        <v>0</v>
      </c>
      <c r="C11" s="24"/>
    </row>
    <row r="12" customFormat="false" ht="15" hidden="false" customHeight="false" outlineLevel="0" collapsed="false">
      <c r="A12" s="23" t="s">
        <v>86</v>
      </c>
      <c r="B12" s="13" t="str">
        <f aca="false">'Versão B'!O5</f>
        <v/>
      </c>
      <c r="C12" s="24"/>
    </row>
    <row r="13" customFormat="false" ht="15" hidden="false" customHeight="false" outlineLevel="0" collapsed="false">
      <c r="A13" s="23" t="s">
        <v>87</v>
      </c>
      <c r="B13" s="13" t="str">
        <f aca="false">'Versão B'!O6</f>
        <v/>
      </c>
      <c r="C13" s="24"/>
    </row>
    <row r="14" customFormat="false" ht="15" hidden="false" customHeight="false" outlineLevel="0" collapsed="false">
      <c r="A14" s="23" t="s">
        <v>88</v>
      </c>
      <c r="B14" s="13" t="str">
        <f aca="false">'Versão B'!O7</f>
        <v/>
      </c>
      <c r="C14" s="24"/>
    </row>
    <row r="15" customFormat="false" ht="15" hidden="false" customHeight="false" outlineLevel="0" collapsed="false">
      <c r="A15" s="23" t="s">
        <v>89</v>
      </c>
      <c r="B15" s="13" t="str">
        <f aca="false">'Versão B'!O8</f>
        <v/>
      </c>
      <c r="C15" s="24"/>
    </row>
    <row r="16" customFormat="false" ht="15" hidden="false" customHeight="false" outlineLevel="0" collapsed="false">
      <c r="A16" s="23" t="s">
        <v>90</v>
      </c>
      <c r="B16" s="20" t="str">
        <f aca="false">'Versão B'!N12</f>
        <v/>
      </c>
      <c r="C16" s="24"/>
    </row>
    <row r="17" customFormat="false" ht="15" hidden="false" customHeight="false" outlineLevel="0" collapsed="false">
      <c r="A17" s="23" t="s">
        <v>91</v>
      </c>
      <c r="B17" s="7" t="str">
        <f aca="false">IF('Versão B'!N15="","",'Versão B'!N15&amp;" – "&amp;'Versão B'!N16)</f>
        <v>0 – 0</v>
      </c>
      <c r="C17" s="24"/>
    </row>
    <row r="19" customFormat="false" ht="15" hidden="false" customHeight="true" outlineLevel="0" collapsed="false">
      <c r="A19" s="22" t="s">
        <v>92</v>
      </c>
      <c r="B19" s="22"/>
      <c r="C19" s="22"/>
    </row>
    <row r="20" customFormat="false" ht="15" hidden="false" customHeight="false" outlineLevel="0" collapsed="false">
      <c r="A20" s="23" t="s">
        <v>93</v>
      </c>
      <c r="B20" s="7" t="n">
        <f aca="false">'Triagem A↔B'!G11</f>
        <v>0</v>
      </c>
      <c r="C20" s="24"/>
    </row>
    <row r="21" customFormat="false" ht="15" hidden="false" customHeight="false" outlineLevel="0" collapsed="false">
      <c r="A21" s="23" t="s">
        <v>94</v>
      </c>
      <c r="B21" s="7" t="n">
        <f aca="false">'Triagem A↔B'!G12</f>
        <v>0</v>
      </c>
      <c r="C21" s="24"/>
    </row>
    <row r="22" customFormat="false" ht="35.05" hidden="false" customHeight="false" outlineLevel="0" collapsed="false">
      <c r="A22" s="23" t="s">
        <v>95</v>
      </c>
      <c r="B22" s="21" t="str">
        <f aca="false">'Triagem A↔B'!G13</f>
        <v/>
      </c>
      <c r="C22" s="24" t="s">
        <v>96</v>
      </c>
    </row>
    <row r="24" customFormat="false" ht="15" hidden="false" customHeight="true" outlineLevel="0" collapsed="false">
      <c r="A24" s="22" t="s">
        <v>97</v>
      </c>
      <c r="B24" s="22"/>
      <c r="C24" s="22"/>
    </row>
    <row r="25" customFormat="false" ht="21.75" hidden="false" customHeight="true" outlineLevel="0" collapsed="false">
      <c r="A25" s="25" t="s">
        <v>98</v>
      </c>
      <c r="B25" s="25"/>
      <c r="C25" s="25"/>
    </row>
    <row r="26" customFormat="false" ht="21.75" hidden="false" customHeight="true" outlineLevel="0" collapsed="false">
      <c r="A26" s="25" t="s">
        <v>99</v>
      </c>
      <c r="B26" s="25"/>
      <c r="C26" s="25"/>
    </row>
    <row r="27" customFormat="false" ht="21.75" hidden="false" customHeight="true" outlineLevel="0" collapsed="false">
      <c r="A27" s="25" t="s">
        <v>100</v>
      </c>
      <c r="B27" s="25"/>
      <c r="C27" s="25"/>
    </row>
    <row r="28" customFormat="false" ht="21.75" hidden="false" customHeight="true" outlineLevel="0" collapsed="false">
      <c r="A28" s="25" t="s">
        <v>101</v>
      </c>
      <c r="B28" s="25"/>
      <c r="C28" s="25"/>
    </row>
    <row r="29" customFormat="false" ht="21.75" hidden="false" customHeight="true" outlineLevel="0" collapsed="false">
      <c r="A29" s="25" t="s">
        <v>102</v>
      </c>
      <c r="B29" s="25"/>
      <c r="C29" s="25"/>
    </row>
    <row r="30" customFormat="false" ht="21.75" hidden="false" customHeight="true" outlineLevel="0" collapsed="false">
      <c r="A30" s="25" t="s">
        <v>103</v>
      </c>
      <c r="B30" s="25"/>
      <c r="C30" s="25"/>
    </row>
  </sheetData>
  <mergeCells count="12">
    <mergeCell ref="A1:C1"/>
    <mergeCell ref="A2:C2"/>
    <mergeCell ref="A4:C4"/>
    <mergeCell ref="A10:C10"/>
    <mergeCell ref="A19:C19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2026-05-26T13:50:05Z</dcterms:created>
  <dc:creator>openpyxl</dc:creator>
  <dc:description/>
  <dc:language>en-US</dc:language>
  <cp:lastModifiedBy/>
  <dcterms:modified xsi:type="dcterms:W3CDTF">2026-05-26T13:50:05Z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