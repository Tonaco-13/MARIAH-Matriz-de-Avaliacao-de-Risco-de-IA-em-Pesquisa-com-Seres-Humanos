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rotocolos" sheetId="2" state="visible" r:id="rId4"/>
    <sheet name="Versión A" sheetId="3" state="visible" r:id="rId5"/>
    <sheet name="Versión B" sheetId="4" state="visible" r:id="rId6"/>
    <sheet name="Triaje A↔B" sheetId="5" state="visible" r:id="rId7"/>
    <sheet name="Panel-resumen" sheetId="6" state="visible" r:id="rId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H3" authorId="0">
      <text>
        <r>
          <rPr>
            <sz val="10"/>
            <rFont val="Arial"/>
            <family val="2"/>
          </rPr>
          <t xml:space="preserve">Preencha somente quando «Usa BD?» = Sim (Res. CNS n.º 738/2024). Na v1 da planilha, o 6.b era somado à mão ao Bloco 6.</t>
        </r>
      </text>
    </comment>
    <comment ref="K3" authorId="0">
      <text>
        <r>
          <rPr>
            <sz val="10"/>
            <rFont val="Arial"/>
            <family val="2"/>
          </rPr>
          <t xml:space="preserve">Sim quando P4.1 ou P4.2 = Sim. O nível passa a IV qualquer que seja a pontuação, como na MARIAH.</t>
        </r>
      </text>
    </comment>
    <comment ref="L3" authorId="0">
      <text>
        <r>
          <rPr>
            <sz val="10"/>
            <rFont val="Arial"/>
            <family val="2"/>
          </rPr>
          <t xml:space="preserve">Sim quando a MARIAH declarou o protocolo não avaliável (hipótese eliminatória). Total e nível ficam fora da distribuição e das estatísticas.</t>
        </r>
      </text>
    </comment>
  </commentList>
</comments>
</file>

<file path=xl/sharedStrings.xml><?xml version="1.0" encoding="utf-8"?>
<sst xmlns="http://schemas.openxmlformats.org/spreadsheetml/2006/main" count="127" uniqueCount="120">
  <si>
    <t xml:space="preserve">Planilla-modelo · Validación Local de la MARIAH por los CEPs</t>
  </si>
  <si>
    <t xml:space="preserve">Esta planilla automatiza el registro y el cálculo de los indicadores de los tres frentes de validación propuestos en la Sección de Validación Local del documento MARIAH. Úsela en Microsoft Excel, LibreOffice Calc o Google Sheets — no requiere instalar ninguna extensión estadística.</t>
  </si>
  <si>
    <t xml:space="preserve">Cómo usarla:</t>
  </si>
  <si>
    <t xml:space="preserve">1. Pestaña «Protocolos» — registre cada protocolo con un identificador interno del CEP. No registre datos que permitan identificar al investigador, a la institución proponente o al patrocinador. La planilla no solicita esos datos.</t>
  </si>
  <si>
    <t xml:space="preserve">2. Pestaña «Versión A» — para cada protocolo aplicado en paralelo por dos evaluadores, registre la clasificación consolidada de cada evaluador (I, II, III, IV o NO EVALUABLE). La planilla calcula el porcentaje de concordancia y el estadístico kappa de Cohen sobre los pares con nivel asignado, con lectura sugerida, y la concordancia en cuanto a la evaluabilidad, que incluye los no evaluables.</t>
  </si>
  <si>
    <t xml:space="preserve">3. Pestaña «Versión B» — para cada protocolo evaluado por la Versión B, registre la puntuación neta por bloque (incluido el Bloque 6.b, cuando haya banco de datos) y marque, en las columnas correspondientes, si se activó la Cláusula de Primacía Ética y si el protocolo fue declarado no evaluable. La planilla calcula la puntuación total y el nivel resultante con las mismas reglas de la MARIAH, y genera la distribución de la casuística del CEP en los cuatro niveles.</t>
  </si>
  <si>
    <t xml:space="preserve">4. Pestaña «Triaje A↔B» — para los protocolos que pasaron por las dos versiones en el modo triaje, la planilla cruza las clasificaciones automáticamente y produce la tabla de contingencia 4x4. Los protocolos no evaluables quedan fuera del cruce.</t>
  </si>
  <si>
    <t xml:space="preserve">5. Pestaña «Panel-resumen» — consolida los indicadores de los tres frentes en un panel único, para uso en la reunión plenaria del CEP.</t>
  </si>
  <si>
    <t xml:space="preserve">Importante:</t>
  </si>
  <si>
    <t xml:space="preserve">· Los evaluadores deben registrar sus clasificaciones de forma independiente, antes de cualquier deliberación colegiada. Concordancias muy altas en todos los ejes pueden indicar deliberación previa entre evaluadores, lo que vacía el ejercicio.</t>
  </si>
  <si>
    <t xml:space="preserve">· La planilla admite hasta 50 protocolos por frente. Los CEPs con mayor volumen pueden duplicar la planilla por período de recolección.</t>
  </si>
  <si>
    <t xml:space="preserve">· Los cálculos son fórmulas de Excel/Calc. No borre las celdas sombreadas (verde claro). Edite solo las celdas resaltadas en amarillo claro.</t>
  </si>
  <si>
    <t xml:space="preserve">· La devolución opcional al Grupo de Trabajo se describe en la Sección de Validación Local del documento MARIAH. Los CEPs que opten por compartir pueden enviar la planilla completa o solo el panel-resumen.</t>
  </si>
  <si>
    <t xml:space="preserve">Novedades de la versión 2 de esta planilla (25/09/2026; revisión 2.1):</t>
  </si>
  <si>
    <t xml:space="preserve">· Pestaña «Versión B»: columna propia para el Bloque 6.b (antes sumado a mano al Bloque 6); columnas «¿Cláusula de Primacía?» y «¿No evaluable?»; el «Nivel» pasa a IV cuando se activa la Cláusula y a «NO EVALUABLE» cuando hay eliminatoria — antes se calculaba solo por la puntuación y podía divergir de la MARIAH. Los no evaluables salen de la distribución y de las estadísticas. Listas de selección en las columnas Sí/No.</t>
  </si>
  <si>
    <t xml:space="preserve">· Pestañas «Triaje A↔B» y «Panel-resumen»: pasan a leer el nivel corregido; los pares con protocolo no evaluable quedan fuera de la convergencia.</t>
  </si>
  <si>
    <t xml:space="preserve">· Pestaña «Versión A» (revisión 2.1): acepta NO EVALUABLE; el kappa usa solo los pares con nivel I–IV y un indicador propio mide la concordancia en cuanto a la evaluabilidad. Nomenclatura: la Sección de Validación Local se cita como parte del documento MARIAH.</t>
  </si>
  <si>
    <t xml:space="preserve">Registro de protocolos evaluados</t>
  </si>
  <si>
    <t xml:space="preserve">Complete las columnas en amarillo. El ID interno es libre (ej.: P-001). No registre la identificación del investigador, de la institución ni del patrocinador.</t>
  </si>
  <si>
    <t xml:space="preserve">ID interno</t>
  </si>
  <si>
    <t xml:space="preserve">Fecha de presentación</t>
  </si>
  <si>
    <t xml:space="preserve">Descripción breve (uso de IA en el protocolo)</t>
  </si>
  <si>
    <t xml:space="preserve">¿Fue evaluado por la Versión A?</t>
  </si>
  <si>
    <t xml:space="preserve">¿Fue evaluado por la Versión B?</t>
  </si>
  <si>
    <t xml:space="preserve">Versión A — Concordancia entre evaluadores</t>
  </si>
  <si>
    <t xml:space="preserve">Para cada protocolo, registre la clasificación consolidada del Evaluador 1 y del Evaluador 2: I, II, III, IV o NO EVALUABLE (cuando la MARIAH declaró el protocolo no evaluable). El kappa de Cohen se calcula solo con los pares en que los dos evaluadores asignaron nivel (I a IV); la concordancia en cuanto a la evaluabilidad, que incluye los NO EVALUABLES, aparece por separado, en el panel a la derecha.</t>
  </si>
  <si>
    <t xml:space="preserve">Evaluador 1 (I/II/III/IV)</t>
  </si>
  <si>
    <t xml:space="preserve">Evaluador 2 (I/II/III/IV)</t>
  </si>
  <si>
    <t xml:space="preserve">¿Concuerdan?</t>
  </si>
  <si>
    <t xml:space="preserve">Δ niveles</t>
  </si>
  <si>
    <t xml:space="preserve">Indicadores</t>
  </si>
  <si>
    <t xml:space="preserve">n de pares con nivel I–IV (base del kappa)</t>
  </si>
  <si>
    <t xml:space="preserve">concordancias (n)</t>
  </si>
  <si>
    <t xml:space="preserve">discordancias (n)</t>
  </si>
  <si>
    <t xml:space="preserve">concordancia observada (po)</t>
  </si>
  <si>
    <t xml:space="preserve">concordancia esperada (pe, por azar)</t>
  </si>
  <si>
    <t xml:space="preserve">kappa de Cohen</t>
  </si>
  <si>
    <t xml:space="preserve">lectura sugerida</t>
  </si>
  <si>
    <t xml:space="preserve">Rangos de lectura según Landis &amp; Koch (1977).</t>
  </si>
  <si>
    <t xml:space="preserve">Evaluabilidad (incluye NO EVALUABLE)</t>
  </si>
  <si>
    <t xml:space="preserve">pares con las dos clasificaciones registradas</t>
  </si>
  <si>
    <t xml:space="preserve">pares con NO EVALUABLE (fuera del kappa)</t>
  </si>
  <si>
    <t xml:space="preserve">concordancia en cuanto a la evaluabilidad</t>
  </si>
  <si>
    <t xml:space="preserve">Versión B — Puntuación por bloque y distribución</t>
  </si>
  <si>
    <t xml:space="preserve">Registre la puntuación neta de cada bloque, tal como la muestra la MARIAH. Puntos máximos: Bloque 1 = 22, 2 = 17, 3 = 14, 4 = 8, 5 = 62, 6 = 77, 6.b = 29 (solo con banco de datos, Res. CNS n.º 738/2024) y 7 = hasta 75 (bidireccional, mínimo 0). En las columnas J, K y L, elija «Sí» o «No»: J = el protocolo utiliza banco de datos; K = se activó la Cláusula de Primacía Ética (P4.1 o P4.2 = Sí — el nivel es IV cualquiera que sea la puntuación); L = la MARIAH declaró el protocolo NO EVALUABLE (eliminatoria) — sale de la distribución y de las estadísticas.</t>
  </si>
  <si>
    <t xml:space="preserve">Bloque 1</t>
  </si>
  <si>
    <t xml:space="preserve">Bloque 2</t>
  </si>
  <si>
    <t xml:space="preserve">Bloque 3</t>
  </si>
  <si>
    <t xml:space="preserve">Bloque 4</t>
  </si>
  <si>
    <t xml:space="preserve">Bloque 5</t>
  </si>
  <si>
    <t xml:space="preserve">Bloque 6</t>
  </si>
  <si>
    <t xml:space="preserve">Bloque 6.b (Res 738)</t>
  </si>
  <si>
    <t xml:space="preserve">Bloque 7 (neto)</t>
  </si>
  <si>
    <t xml:space="preserve">¿Usa BD?</t>
  </si>
  <si>
    <t xml:space="preserve">¿Cláusula de Primacía?</t>
  </si>
  <si>
    <t xml:space="preserve">¿No evaluable?</t>
  </si>
  <si>
    <t xml:space="preserve">Total</t>
  </si>
  <si>
    <t xml:space="preserve">Nivel</t>
  </si>
  <si>
    <t xml:space="preserve">Distribución en los niveles</t>
  </si>
  <si>
    <t xml:space="preserve">n</t>
  </si>
  <si>
    <t xml:space="preserve">%</t>
  </si>
  <si>
    <t xml:space="preserve">I</t>
  </si>
  <si>
    <t xml:space="preserve">II</t>
  </si>
  <si>
    <t xml:space="preserve">III</t>
  </si>
  <si>
    <t xml:space="preserve">IV</t>
  </si>
  <si>
    <t xml:space="preserve">Total con nivel</t>
  </si>
  <si>
    <t xml:space="preserve">No evaluables (fuera de la distribución)</t>
  </si>
  <si>
    <t xml:space="preserve">Elevados a IV por la Cláusula de Primacía</t>
  </si>
  <si>
    <t xml:space="preserve">Estadísticas de la puntuación total (sin los no evaluables)</t>
  </si>
  <si>
    <t xml:space="preserve">Mediana</t>
  </si>
  <si>
    <t xml:space="preserve">Media</t>
  </si>
  <si>
    <t xml:space="preserve">Desviación estándar</t>
  </si>
  <si>
    <t xml:space="preserve">Mínimo</t>
  </si>
  <si>
    <t xml:space="preserve">Máximo</t>
  </si>
  <si>
    <t xml:space="preserve">Triaje A↔B — Convergencia entre las dos versiones</t>
  </si>
  <si>
    <t xml:space="preserve">Para los protocolos evaluados por las dos versiones, la planilla lee automáticamente las clasificaciones de la Versión A (columna B) y de la Versión B (columna N de la pestaña «Versión B», que ya respeta la Cláusula de Primacía) y produce la tabla de contingencia 4x4 a continuación. Los protocolos NO EVALUABLES en cualquiera de las versiones quedan fuera de la convergencia.</t>
  </si>
  <si>
    <t xml:space="preserve">Versión A (consolidada)</t>
  </si>
  <si>
    <t xml:space="preserve">Versión B (nivel)</t>
  </si>
  <si>
    <t xml:space="preserve">¿Convergen?</t>
  </si>
  <si>
    <t xml:space="preserve">Tabla de contingencia (filas = Versión A · columnas = Versión B)</t>
  </si>
  <si>
    <t xml:space="preserve">Versión B I</t>
  </si>
  <si>
    <t xml:space="preserve">Versión B II</t>
  </si>
  <si>
    <t xml:space="preserve">Versión B III</t>
  </si>
  <si>
    <t xml:space="preserve">Versión B IV</t>
  </si>
  <si>
    <t xml:space="preserve">Versión A I</t>
  </si>
  <si>
    <t xml:space="preserve">Versión A II</t>
  </si>
  <si>
    <t xml:space="preserve">Versión A III</t>
  </si>
  <si>
    <t xml:space="preserve">Versión A IV</t>
  </si>
  <si>
    <t xml:space="preserve">Indicador</t>
  </si>
  <si>
    <t xml:space="preserve">Valor</t>
  </si>
  <si>
    <t xml:space="preserve">n pares válidos (A y B con nivel I–IV)</t>
  </si>
  <si>
    <t xml:space="preserve">convergencias (n)</t>
  </si>
  <si>
    <t xml:space="preserve">% convergencia</t>
  </si>
  <si>
    <t xml:space="preserve">Panel-resumen de los tres frentes de validación</t>
  </si>
  <si>
    <t xml:space="preserve">Este panel consolida los indicadores de los tres frentes. Úselo como punto de partida de la reunión plenaria del CEP que discuta los hallazgos de la validación local de la MARIAH. Los CEPs que opten por compartir resultados con el Grupo de Trabajo pueden enviar solo este panel, sin perjuicio de un detalle posterior.</t>
  </si>
  <si>
    <t xml:space="preserve">Frente 1 — Concordancia entre evaluadores en la Versión A</t>
  </si>
  <si>
    <t xml:space="preserve">% de concordancia observada</t>
  </si>
  <si>
    <t xml:space="preserve">&lt;0,40 Insuficiente · 0,40–0,60 Moderada · 0,60–0,80 Sustancial · ≥0,80 Casi perfecta</t>
  </si>
  <si>
    <t xml:space="preserve">concordancia en cuanto a la evaluabilidad (incluye NO EVALUABLE)</t>
  </si>
  <si>
    <t xml:space="preserve">Frente 2 — Distribución empírica de la casuística (Versión B)</t>
  </si>
  <si>
    <t xml:space="preserve">n de protocolos con la Versión B aplicada (con nivel asignado)</t>
  </si>
  <si>
    <t xml:space="preserve">% en el Nivel I (bajo)</t>
  </si>
  <si>
    <t xml:space="preserve">% en el Nivel II (moderado)</t>
  </si>
  <si>
    <t xml:space="preserve">% en el Nivel III (alto)</t>
  </si>
  <si>
    <t xml:space="preserve">% en el Nivel IV (crítico)</t>
  </si>
  <si>
    <t xml:space="preserve">mediana de la puntuación total</t>
  </si>
  <si>
    <t xml:space="preserve">amplitud (mínimo–máximo)</t>
  </si>
  <si>
    <t xml:space="preserve">no evaluables (fuera de la distribución) · elevados a IV por la Cláusula</t>
  </si>
  <si>
    <t xml:space="preserve">Frente 3 — Convergencia entre las Versiones A y B (modo triaje)</t>
  </si>
  <si>
    <t xml:space="preserve">n pares válidos evaluados por las dos versiones (I–IV)</t>
  </si>
  <si>
    <t xml:space="preserve">n de convergencias</t>
  </si>
  <si>
    <t xml:space="preserve">% de convergencia</t>
  </si>
  <si>
    <t xml:space="preserve">&gt;80% Convergencia alta · 60–80% Convergencia media · &lt;60% Examinar discordancias</t>
  </si>
  <si>
    <t xml:space="preserve">Para discusión en la reunión plenaria del CEP</t>
  </si>
  <si>
    <t xml:space="preserve">· ¿Dónde se concentran las discordancias entre los evaluadores en la Versión A? ¿En qué ejes?</t>
  </si>
  <si>
    <t xml:space="preserve">· ¿La distribución de la casuística sugiere concentración cerca de algún punto de corte? ¿Hay protocolos en el Nivel IV?</t>
  </si>
  <si>
    <t xml:space="preserve">· Cuando A y B divergen, ¿hay un patrón (por ejemplo, A=II y B=III)? ¿Qué dice ese patrón sobre la lectura local de la matriz?</t>
  </si>
  <si>
    <t xml:space="preserve">· ¿Hay preguntas de la matriz que los evaluadores leen de modo sistemáticamente diferente? ¿Conviene revisar la redacción localmente?</t>
  </si>
  <si>
    <t xml:space="preserve">· ¿Los hallazgos sugieren ajustes en la capacitación interna del CEP? ¿En qué temas?</t>
  </si>
  <si>
    <t xml:space="preserve">· ¿El colegiado desea compartir los hallazgos con el Grupo de Trabajo? ¿En qué formato (planilla completa, solo este panel, nota narrativa)?</t>
  </si>
</sst>
</file>

<file path=xl/styles.xml><?xml version="1.0" encoding="utf-8"?>
<styleSheet xmlns="http://schemas.openxmlformats.org/spreadsheetml/2006/main">
  <numFmts count="5">
    <numFmt numFmtId="164" formatCode="General"/>
    <numFmt numFmtId="165" formatCode="General"/>
    <numFmt numFmtId="166" formatCode="0.0%"/>
    <numFmt numFmtId="167" formatCode="0.00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1"/>
      <name val="Arial"/>
      <family val="0"/>
      <charset val="1"/>
    </font>
    <font>
      <b val="true"/>
      <sz val="11"/>
      <name val="Arial"/>
      <family val="0"/>
      <charset val="1"/>
    </font>
    <font>
      <i val="true"/>
      <sz val="10"/>
      <color rgb="FF555555"/>
      <name val="Arial"/>
      <family val="0"/>
      <charset val="1"/>
    </font>
    <font>
      <b val="true"/>
      <sz val="12"/>
      <name val="Arial"/>
      <family val="0"/>
      <charset val="1"/>
    </font>
    <font>
      <b val="true"/>
      <sz val="10"/>
      <name val="Arial"/>
      <family val="0"/>
      <charset val="1"/>
    </font>
    <font>
      <sz val="10"/>
      <name val="Arial"/>
      <family val="0"/>
      <charset val="1"/>
    </font>
    <font>
      <sz val="10"/>
      <color rgb="FF555555"/>
      <name val="Arial"/>
      <family val="0"/>
      <charset val="1"/>
    </font>
    <font>
      <sz val="10"/>
      <name val="Arial"/>
      <family val="2"/>
    </font>
  </fonts>
  <fills count="6">
    <fill>
      <patternFill patternType="none"/>
    </fill>
    <fill>
      <patternFill patternType="gray125"/>
    </fill>
    <fill>
      <patternFill patternType="solid">
        <fgColor rgb="FF2E75B6"/>
        <bgColor rgb="FF0066CC"/>
      </patternFill>
    </fill>
    <fill>
      <patternFill patternType="solid">
        <fgColor rgb="FFFFF2CC"/>
        <bgColor rgb="FFE2EFDA"/>
      </patternFill>
    </fill>
    <fill>
      <patternFill patternType="solid">
        <fgColor rgb="FFD5E8F0"/>
        <bgColor rgb="FFE2EFDA"/>
      </patternFill>
    </fill>
    <fill>
      <patternFill patternType="solid">
        <fgColor rgb="FFE2EFDA"/>
        <bgColor rgb="FFD5E8F0"/>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left" vertical="center"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7" fontId="8" fillId="5"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5" fontId="10" fillId="5" borderId="2" xfId="0" applyFont="true" applyBorder="true" applyAlignment="true" applyProtection="false">
      <alignment horizontal="general" vertical="center" textRotation="0" wrapText="true" indent="0" shrinkToFit="false"/>
      <protection locked="true" hidden="false"/>
    </xf>
    <xf numFmtId="166" fontId="10" fillId="5" borderId="2" xfId="0" applyFont="true" applyBorder="true" applyAlignment="true" applyProtection="false">
      <alignment horizontal="general" vertical="center" textRotation="0" wrapText="true" indent="0" shrinkToFit="false"/>
      <protection locked="true" hidden="false"/>
    </xf>
    <xf numFmtId="164" fontId="11" fillId="3" borderId="0" xfId="0" applyFont="true" applyBorder="true" applyAlignment="true" applyProtection="false">
      <alignment horizontal="general" vertical="top"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6" fontId="10" fillId="5" borderId="2" xfId="0" applyFont="true" applyBorder="true" applyAlignment="true" applyProtection="false">
      <alignment horizontal="center"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8" fontId="10" fillId="5" borderId="2"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6" fontId="8" fillId="5" borderId="1"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6" fontId="0" fillId="5"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5E8F0"/>
      <rgbColor rgb="FF660066"/>
      <rgbColor rgb="FFFF8080"/>
      <rgbColor rgb="FF0066CC"/>
      <rgbColor rgb="FFBBBBBB"/>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31.5" hidden="false" customHeight="true" outlineLevel="0" collapsed="false">
      <c r="A1" s="2" t="s">
        <v>0</v>
      </c>
    </row>
    <row r="2" customFormat="false" ht="15" hidden="false" customHeight="true" outlineLevel="0" collapsed="false">
      <c r="A2" s="3"/>
    </row>
    <row r="3" customFormat="false" ht="26.25" hidden="false" customHeight="true" outlineLevel="0" collapsed="false">
      <c r="A3" s="3" t="s">
        <v>1</v>
      </c>
    </row>
    <row r="4" customFormat="false" ht="15" hidden="false" customHeight="true" outlineLevel="0" collapsed="false">
      <c r="A4" s="3"/>
    </row>
    <row r="5" customFormat="false" ht="15" hidden="false" customHeight="true" outlineLevel="0" collapsed="false">
      <c r="A5" s="4" t="s">
        <v>2</v>
      </c>
    </row>
    <row r="6" customFormat="false" ht="15" hidden="false" customHeight="true" outlineLevel="0" collapsed="false">
      <c r="A6" s="3"/>
    </row>
    <row r="7" customFormat="false" ht="26.25" hidden="false" customHeight="true" outlineLevel="0" collapsed="false">
      <c r="A7" s="3" t="s">
        <v>3</v>
      </c>
    </row>
    <row r="8" customFormat="false" ht="15" hidden="false" customHeight="true" outlineLevel="0" collapsed="false">
      <c r="A8" s="3"/>
    </row>
    <row r="9" customFormat="false" ht="39" hidden="false" customHeight="true" outlineLevel="0" collapsed="false">
      <c r="A9" s="3" t="s">
        <v>4</v>
      </c>
    </row>
    <row r="10" customFormat="false" ht="15" hidden="false" customHeight="true" outlineLevel="0" collapsed="false">
      <c r="A10" s="3"/>
    </row>
    <row r="11" customFormat="false" ht="26.25" hidden="false" customHeight="true" outlineLevel="0" collapsed="false">
      <c r="A11" s="3" t="s">
        <v>5</v>
      </c>
    </row>
    <row r="12" customFormat="false" ht="15" hidden="false" customHeight="true" outlineLevel="0" collapsed="false">
      <c r="A12" s="3"/>
    </row>
    <row r="13" customFormat="false" ht="26.25" hidden="false" customHeight="true" outlineLevel="0" collapsed="false">
      <c r="A13" s="3" t="s">
        <v>6</v>
      </c>
    </row>
    <row r="14" customFormat="false" ht="15" hidden="false" customHeight="true" outlineLevel="0" collapsed="false">
      <c r="A14" s="3"/>
    </row>
    <row r="15" customFormat="false" ht="26.25" hidden="false" customHeight="true" outlineLevel="0" collapsed="false">
      <c r="A15" s="3" t="s">
        <v>7</v>
      </c>
    </row>
    <row r="16" customFormat="false" ht="15" hidden="false" customHeight="true" outlineLevel="0" collapsed="false">
      <c r="A16" s="3"/>
    </row>
    <row r="17" customFormat="false" ht="15" hidden="false" customHeight="true" outlineLevel="0" collapsed="false">
      <c r="A17" s="4" t="s">
        <v>8</v>
      </c>
    </row>
    <row r="18" customFormat="false" ht="15" hidden="false" customHeight="true" outlineLevel="0" collapsed="false">
      <c r="A18" s="3"/>
    </row>
    <row r="19" customFormat="false" ht="39" hidden="false" customHeight="true" outlineLevel="0" collapsed="false">
      <c r="A19" s="3" t="s">
        <v>9</v>
      </c>
    </row>
    <row r="20" customFormat="false" ht="15" hidden="false" customHeight="true" outlineLevel="0" collapsed="false">
      <c r="A20" s="3"/>
    </row>
    <row r="21" customFormat="false" ht="26.25" hidden="false" customHeight="true" outlineLevel="0" collapsed="false">
      <c r="A21" s="3" t="s">
        <v>10</v>
      </c>
    </row>
    <row r="22" customFormat="false" ht="15" hidden="false" customHeight="true" outlineLevel="0" collapsed="false">
      <c r="A22" s="3"/>
    </row>
    <row r="23" customFormat="false" ht="26.25" hidden="false" customHeight="true" outlineLevel="0" collapsed="false">
      <c r="A23" s="3" t="s">
        <v>11</v>
      </c>
    </row>
    <row r="24" customFormat="false" ht="15" hidden="false" customHeight="true" outlineLevel="0" collapsed="false">
      <c r="A24" s="3"/>
    </row>
    <row r="25" customFormat="false" ht="26.25" hidden="false" customHeight="true" outlineLevel="0" collapsed="false">
      <c r="A25" s="3" t="s">
        <v>12</v>
      </c>
    </row>
    <row r="27" customFormat="false" ht="15" hidden="false" customHeight="true" outlineLevel="0" collapsed="false">
      <c r="A27" s="5" t="s">
        <v>13</v>
      </c>
    </row>
    <row r="29" customFormat="false" ht="51.75" hidden="false" customHeight="true" outlineLevel="0" collapsed="false">
      <c r="A29" s="3" t="s">
        <v>14</v>
      </c>
    </row>
    <row r="31" customFormat="false" ht="26.25" hidden="false" customHeight="true" outlineLevel="0" collapsed="false">
      <c r="A31" s="3" t="s">
        <v>15</v>
      </c>
    </row>
    <row r="33" customFormat="false" ht="39" hidden="false" customHeight="true" outlineLevel="0" collapsed="false">
      <c r="A33"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4"/>
    <col collapsed="false" customWidth="true" hidden="false" outlineLevel="0" max="3" min="3" style="1" width="60"/>
    <col collapsed="false" customWidth="true" hidden="false" outlineLevel="0" max="5" min="4" style="1" width="22"/>
  </cols>
  <sheetData>
    <row r="1" customFormat="false" ht="27.75" hidden="false" customHeight="true" outlineLevel="0" collapsed="false">
      <c r="A1" s="6" t="s">
        <v>17</v>
      </c>
      <c r="B1" s="6"/>
      <c r="C1" s="6"/>
      <c r="D1" s="6"/>
      <c r="E1" s="6"/>
    </row>
    <row r="2" customFormat="false" ht="27.75" hidden="false" customHeight="true" outlineLevel="0" collapsed="false">
      <c r="A2" s="7" t="s">
        <v>18</v>
      </c>
      <c r="B2" s="7"/>
      <c r="C2" s="7"/>
      <c r="D2" s="7"/>
      <c r="E2" s="7"/>
    </row>
    <row r="3" customFormat="false" ht="15" hidden="false" customHeight="true" outlineLevel="0" collapsed="false">
      <c r="A3" s="8" t="s">
        <v>19</v>
      </c>
      <c r="B3" s="8" t="s">
        <v>20</v>
      </c>
      <c r="C3" s="8" t="s">
        <v>21</v>
      </c>
      <c r="D3" s="8" t="s">
        <v>22</v>
      </c>
      <c r="E3" s="8" t="s">
        <v>23</v>
      </c>
    </row>
    <row r="4" customFormat="false" ht="15" hidden="false" customHeight="true" outlineLevel="0" collapsed="false">
      <c r="A4" s="9"/>
      <c r="B4" s="9"/>
      <c r="C4" s="10"/>
      <c r="D4" s="9"/>
      <c r="E4" s="9"/>
    </row>
    <row r="5" customFormat="false" ht="15" hidden="false" customHeight="true" outlineLevel="0" collapsed="false">
      <c r="A5" s="9"/>
      <c r="B5" s="9"/>
      <c r="C5" s="10"/>
      <c r="D5" s="9"/>
      <c r="E5" s="9"/>
    </row>
    <row r="6" customFormat="false" ht="15" hidden="false" customHeight="true" outlineLevel="0" collapsed="false">
      <c r="A6" s="9"/>
      <c r="B6" s="9"/>
      <c r="C6" s="10"/>
      <c r="D6" s="9"/>
      <c r="E6" s="9"/>
    </row>
    <row r="7" customFormat="false" ht="15" hidden="false" customHeight="true" outlineLevel="0" collapsed="false">
      <c r="A7" s="9"/>
      <c r="B7" s="9"/>
      <c r="C7" s="10"/>
      <c r="D7" s="9"/>
      <c r="E7" s="9"/>
    </row>
    <row r="8" customFormat="false" ht="15" hidden="false" customHeight="true" outlineLevel="0" collapsed="false">
      <c r="A8" s="9"/>
      <c r="B8" s="9"/>
      <c r="C8" s="10"/>
      <c r="D8" s="9"/>
      <c r="E8" s="9"/>
    </row>
    <row r="9" customFormat="false" ht="15" hidden="false" customHeight="true" outlineLevel="0" collapsed="false">
      <c r="A9" s="9"/>
      <c r="B9" s="9"/>
      <c r="C9" s="10"/>
      <c r="D9" s="9"/>
      <c r="E9" s="9"/>
    </row>
    <row r="10" customFormat="false" ht="15" hidden="false" customHeight="true" outlineLevel="0" collapsed="false">
      <c r="A10" s="9"/>
      <c r="B10" s="9"/>
      <c r="C10" s="10"/>
      <c r="D10" s="9"/>
      <c r="E10" s="9"/>
    </row>
    <row r="11" customFormat="false" ht="15" hidden="false" customHeight="true" outlineLevel="0" collapsed="false">
      <c r="A11" s="9"/>
      <c r="B11" s="9"/>
      <c r="C11" s="10"/>
      <c r="D11" s="9"/>
      <c r="E11" s="9"/>
    </row>
    <row r="12" customFormat="false" ht="15" hidden="false" customHeight="true" outlineLevel="0" collapsed="false">
      <c r="A12" s="9"/>
      <c r="B12" s="9"/>
      <c r="C12" s="10"/>
      <c r="D12" s="9"/>
      <c r="E12" s="9"/>
    </row>
    <row r="13" customFormat="false" ht="15" hidden="false" customHeight="true" outlineLevel="0" collapsed="false">
      <c r="A13" s="9"/>
      <c r="B13" s="9"/>
      <c r="C13" s="10"/>
      <c r="D13" s="9"/>
      <c r="E13" s="9"/>
    </row>
    <row r="14" customFormat="false" ht="15" hidden="false" customHeight="true" outlineLevel="0" collapsed="false">
      <c r="A14" s="9"/>
      <c r="B14" s="9"/>
      <c r="C14" s="10"/>
      <c r="D14" s="9"/>
      <c r="E14" s="9"/>
    </row>
    <row r="15" customFormat="false" ht="15" hidden="false" customHeight="true" outlineLevel="0" collapsed="false">
      <c r="A15" s="9"/>
      <c r="B15" s="9"/>
      <c r="C15" s="10"/>
      <c r="D15" s="9"/>
      <c r="E15" s="9"/>
    </row>
    <row r="16" customFormat="false" ht="15" hidden="false" customHeight="true" outlineLevel="0" collapsed="false">
      <c r="A16" s="9"/>
      <c r="B16" s="9"/>
      <c r="C16" s="10"/>
      <c r="D16" s="9"/>
      <c r="E16" s="9"/>
    </row>
    <row r="17" customFormat="false" ht="15" hidden="false" customHeight="true" outlineLevel="0" collapsed="false">
      <c r="A17" s="9"/>
      <c r="B17" s="9"/>
      <c r="C17" s="10"/>
      <c r="D17" s="9"/>
      <c r="E17" s="9"/>
    </row>
    <row r="18" customFormat="false" ht="15" hidden="false" customHeight="true" outlineLevel="0" collapsed="false">
      <c r="A18" s="9"/>
      <c r="B18" s="9"/>
      <c r="C18" s="10"/>
      <c r="D18" s="9"/>
      <c r="E18" s="9"/>
    </row>
    <row r="19" customFormat="false" ht="15" hidden="false" customHeight="true" outlineLevel="0" collapsed="false">
      <c r="A19" s="9"/>
      <c r="B19" s="9"/>
      <c r="C19" s="10"/>
      <c r="D19" s="9"/>
      <c r="E19" s="9"/>
    </row>
    <row r="20" customFormat="false" ht="15" hidden="false" customHeight="true" outlineLevel="0" collapsed="false">
      <c r="A20" s="9"/>
      <c r="B20" s="9"/>
      <c r="C20" s="10"/>
      <c r="D20" s="9"/>
      <c r="E20" s="9"/>
    </row>
    <row r="21" customFormat="false" ht="15" hidden="false" customHeight="true" outlineLevel="0" collapsed="false">
      <c r="A21" s="9"/>
      <c r="B21" s="9"/>
      <c r="C21" s="10"/>
      <c r="D21" s="9"/>
      <c r="E21" s="9"/>
    </row>
    <row r="22" customFormat="false" ht="15" hidden="false" customHeight="true" outlineLevel="0" collapsed="false">
      <c r="A22" s="9"/>
      <c r="B22" s="9"/>
      <c r="C22" s="10"/>
      <c r="D22" s="9"/>
      <c r="E22" s="9"/>
    </row>
    <row r="23" customFormat="false" ht="15" hidden="false" customHeight="true" outlineLevel="0" collapsed="false">
      <c r="A23" s="9"/>
      <c r="B23" s="9"/>
      <c r="C23" s="10"/>
      <c r="D23" s="9"/>
      <c r="E23" s="9"/>
    </row>
    <row r="24" customFormat="false" ht="15" hidden="false" customHeight="true" outlineLevel="0" collapsed="false">
      <c r="A24" s="9"/>
      <c r="B24" s="9"/>
      <c r="C24" s="10"/>
      <c r="D24" s="9"/>
      <c r="E24" s="9"/>
    </row>
    <row r="25" customFormat="false" ht="15" hidden="false" customHeight="true" outlineLevel="0" collapsed="false">
      <c r="A25" s="9"/>
      <c r="B25" s="9"/>
      <c r="C25" s="10"/>
      <c r="D25" s="9"/>
      <c r="E25" s="9"/>
    </row>
    <row r="26" customFormat="false" ht="15" hidden="false" customHeight="true" outlineLevel="0" collapsed="false">
      <c r="A26" s="9"/>
      <c r="B26" s="9"/>
      <c r="C26" s="10"/>
      <c r="D26" s="9"/>
      <c r="E26" s="9"/>
    </row>
    <row r="27" customFormat="false" ht="15" hidden="false" customHeight="true" outlineLevel="0" collapsed="false">
      <c r="A27" s="9"/>
      <c r="B27" s="9"/>
      <c r="C27" s="10"/>
      <c r="D27" s="9"/>
      <c r="E27" s="9"/>
    </row>
    <row r="28" customFormat="false" ht="15" hidden="false" customHeight="true" outlineLevel="0" collapsed="false">
      <c r="A28" s="9"/>
      <c r="B28" s="9"/>
      <c r="C28" s="10"/>
      <c r="D28" s="9"/>
      <c r="E28" s="9"/>
    </row>
    <row r="29" customFormat="false" ht="15" hidden="false" customHeight="true" outlineLevel="0" collapsed="false">
      <c r="A29" s="9"/>
      <c r="B29" s="9"/>
      <c r="C29" s="10"/>
      <c r="D29" s="9"/>
      <c r="E29" s="9"/>
    </row>
    <row r="30" customFormat="false" ht="15" hidden="false" customHeight="true" outlineLevel="0" collapsed="false">
      <c r="A30" s="9"/>
      <c r="B30" s="9"/>
      <c r="C30" s="10"/>
      <c r="D30" s="9"/>
      <c r="E30" s="9"/>
    </row>
    <row r="31" customFormat="false" ht="15" hidden="false" customHeight="true" outlineLevel="0" collapsed="false">
      <c r="A31" s="9"/>
      <c r="B31" s="9"/>
      <c r="C31" s="10"/>
      <c r="D31" s="9"/>
      <c r="E31" s="9"/>
    </row>
    <row r="32" customFormat="false" ht="15" hidden="false" customHeight="true" outlineLevel="0" collapsed="false">
      <c r="A32" s="9"/>
      <c r="B32" s="9"/>
      <c r="C32" s="10"/>
      <c r="D32" s="9"/>
      <c r="E32" s="9"/>
    </row>
    <row r="33" customFormat="false" ht="15" hidden="false" customHeight="true" outlineLevel="0" collapsed="false">
      <c r="A33" s="9"/>
      <c r="B33" s="9"/>
      <c r="C33" s="10"/>
      <c r="D33" s="9"/>
      <c r="E33" s="9"/>
    </row>
    <row r="34" customFormat="false" ht="15" hidden="false" customHeight="true" outlineLevel="0" collapsed="false">
      <c r="A34" s="9"/>
      <c r="B34" s="9"/>
      <c r="C34" s="10"/>
      <c r="D34" s="9"/>
      <c r="E34" s="9"/>
    </row>
    <row r="35" customFormat="false" ht="15" hidden="false" customHeight="true" outlineLevel="0" collapsed="false">
      <c r="A35" s="9"/>
      <c r="B35" s="9"/>
      <c r="C35" s="10"/>
      <c r="D35" s="9"/>
      <c r="E35" s="9"/>
    </row>
    <row r="36" customFormat="false" ht="15" hidden="false" customHeight="true" outlineLevel="0" collapsed="false">
      <c r="A36" s="9"/>
      <c r="B36" s="9"/>
      <c r="C36" s="10"/>
      <c r="D36" s="9"/>
      <c r="E36" s="9"/>
    </row>
    <row r="37" customFormat="false" ht="15" hidden="false" customHeight="true" outlineLevel="0" collapsed="false">
      <c r="A37" s="9"/>
      <c r="B37" s="9"/>
      <c r="C37" s="10"/>
      <c r="D37" s="9"/>
      <c r="E37" s="9"/>
    </row>
    <row r="38" customFormat="false" ht="15" hidden="false" customHeight="true" outlineLevel="0" collapsed="false">
      <c r="A38" s="9"/>
      <c r="B38" s="9"/>
      <c r="C38" s="10"/>
      <c r="D38" s="9"/>
      <c r="E38" s="9"/>
    </row>
    <row r="39" customFormat="false" ht="15" hidden="false" customHeight="true" outlineLevel="0" collapsed="false">
      <c r="A39" s="9"/>
      <c r="B39" s="9"/>
      <c r="C39" s="10"/>
      <c r="D39" s="9"/>
      <c r="E39" s="9"/>
    </row>
    <row r="40" customFormat="false" ht="15" hidden="false" customHeight="true" outlineLevel="0" collapsed="false">
      <c r="A40" s="9"/>
      <c r="B40" s="9"/>
      <c r="C40" s="10"/>
      <c r="D40" s="9"/>
      <c r="E40" s="9"/>
    </row>
    <row r="41" customFormat="false" ht="15" hidden="false" customHeight="true" outlineLevel="0" collapsed="false">
      <c r="A41" s="9"/>
      <c r="B41" s="9"/>
      <c r="C41" s="10"/>
      <c r="D41" s="9"/>
      <c r="E41" s="9"/>
    </row>
    <row r="42" customFormat="false" ht="15" hidden="false" customHeight="true" outlineLevel="0" collapsed="false">
      <c r="A42" s="9"/>
      <c r="B42" s="9"/>
      <c r="C42" s="10"/>
      <c r="D42" s="9"/>
      <c r="E42" s="9"/>
    </row>
    <row r="43" customFormat="false" ht="15" hidden="false" customHeight="true" outlineLevel="0" collapsed="false">
      <c r="A43" s="9"/>
      <c r="B43" s="9"/>
      <c r="C43" s="10"/>
      <c r="D43" s="9"/>
      <c r="E43" s="9"/>
    </row>
    <row r="44" customFormat="false" ht="15" hidden="false" customHeight="true" outlineLevel="0" collapsed="false">
      <c r="A44" s="9"/>
      <c r="B44" s="9"/>
      <c r="C44" s="10"/>
      <c r="D44" s="9"/>
      <c r="E44" s="9"/>
    </row>
    <row r="45" customFormat="false" ht="15" hidden="false" customHeight="true" outlineLevel="0" collapsed="false">
      <c r="A45" s="9"/>
      <c r="B45" s="9"/>
      <c r="C45" s="10"/>
      <c r="D45" s="9"/>
      <c r="E45" s="9"/>
    </row>
    <row r="46" customFormat="false" ht="15" hidden="false" customHeight="true" outlineLevel="0" collapsed="false">
      <c r="A46" s="9"/>
      <c r="B46" s="9"/>
      <c r="C46" s="10"/>
      <c r="D46" s="9"/>
      <c r="E46" s="9"/>
    </row>
    <row r="47" customFormat="false" ht="15" hidden="false" customHeight="true" outlineLevel="0" collapsed="false">
      <c r="A47" s="9"/>
      <c r="B47" s="9"/>
      <c r="C47" s="10"/>
      <c r="D47" s="9"/>
      <c r="E47" s="9"/>
    </row>
    <row r="48" customFormat="false" ht="15" hidden="false" customHeight="true" outlineLevel="0" collapsed="false">
      <c r="A48" s="9"/>
      <c r="B48" s="9"/>
      <c r="C48" s="10"/>
      <c r="D48" s="9"/>
      <c r="E48" s="9"/>
    </row>
    <row r="49" customFormat="false" ht="15" hidden="false" customHeight="true" outlineLevel="0" collapsed="false">
      <c r="A49" s="9"/>
      <c r="B49" s="9"/>
      <c r="C49" s="10"/>
      <c r="D49" s="9"/>
      <c r="E49" s="9"/>
    </row>
    <row r="50" customFormat="false" ht="15" hidden="false" customHeight="true" outlineLevel="0" collapsed="false">
      <c r="A50" s="9"/>
      <c r="B50" s="9"/>
      <c r="C50" s="10"/>
      <c r="D50" s="9"/>
      <c r="E50" s="9"/>
    </row>
    <row r="51" customFormat="false" ht="15" hidden="false" customHeight="true" outlineLevel="0" collapsed="false">
      <c r="A51" s="9"/>
      <c r="B51" s="9"/>
      <c r="C51" s="10"/>
      <c r="D51" s="9"/>
      <c r="E51" s="9"/>
    </row>
    <row r="52" customFormat="false" ht="15" hidden="false" customHeight="true" outlineLevel="0" collapsed="false">
      <c r="A52" s="9"/>
      <c r="B52" s="9"/>
      <c r="C52" s="10"/>
      <c r="D52" s="9"/>
      <c r="E52" s="9"/>
    </row>
    <row r="53" customFormat="false" ht="15" hidden="false" customHeight="true" outlineLevel="0" collapsed="false">
      <c r="A53" s="9"/>
      <c r="B53" s="9"/>
      <c r="C53" s="10"/>
      <c r="D53" s="9"/>
      <c r="E53" s="9"/>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8"/>
    <col collapsed="false" customWidth="true" hidden="false" outlineLevel="0" max="5" min="4" style="1" width="14"/>
    <col collapsed="false" customWidth="true" hidden="false" outlineLevel="0" max="7" min="7" style="1" width="40"/>
    <col collapsed="false" customWidth="true" hidden="false" outlineLevel="0" max="8" min="8" style="1" width="14"/>
  </cols>
  <sheetData>
    <row r="1" customFormat="false" ht="27.75" hidden="false" customHeight="true" outlineLevel="0" collapsed="false">
      <c r="A1" s="6" t="s">
        <v>24</v>
      </c>
      <c r="B1" s="6"/>
      <c r="C1" s="6"/>
      <c r="D1" s="6"/>
      <c r="E1" s="6"/>
    </row>
    <row r="2" customFormat="false" ht="36" hidden="false" customHeight="true" outlineLevel="0" collapsed="false">
      <c r="A2" s="11" t="s">
        <v>25</v>
      </c>
      <c r="B2" s="11"/>
      <c r="C2" s="11"/>
      <c r="D2" s="11"/>
      <c r="E2" s="11"/>
    </row>
    <row r="3" customFormat="false" ht="15" hidden="false" customHeight="true" outlineLevel="0" collapsed="false">
      <c r="A3" s="8" t="s">
        <v>19</v>
      </c>
      <c r="B3" s="8" t="s">
        <v>26</v>
      </c>
      <c r="C3" s="8" t="s">
        <v>27</v>
      </c>
      <c r="D3" s="8" t="s">
        <v>28</v>
      </c>
      <c r="E3" s="8" t="s">
        <v>29</v>
      </c>
      <c r="G3" s="12" t="s">
        <v>30</v>
      </c>
      <c r="H3" s="12"/>
    </row>
    <row r="4" customFormat="false" ht="15" hidden="false" customHeight="true" outlineLevel="0" collapsed="false">
      <c r="A4" s="13" t="str">
        <f aca="false">IF(Protocolos!A4="","",Protocolos!A4)</f>
        <v/>
      </c>
      <c r="B4" s="14"/>
      <c r="C4" s="14"/>
      <c r="D4" s="13" t="str">
        <f aca="false">IF(OR(B4="",C4=""),"",IF(AND(ISNUMBER(MATCH(B4,{"I","II","III","IV"},0)),ISNUMBER(MATCH(C4,{"I","II","III","IV"},0))),IF(B4=C4,"Sí","No"),""))</f>
        <v/>
      </c>
      <c r="E4" s="13" t="str">
        <f aca="false">IF(OR(B4="",C4=""),"",IF(AND(ISNUMBER(MATCH(B4,{"I","II","III","IV"},0)),ISNUMBER(MATCH(C4,{"I","II","III","IV"},0))),ABS(MATCH(B4,{"I","II","III","IV"},0)-MATCH(C4,{"I","II","III","IV"},0)),""))</f>
        <v/>
      </c>
      <c r="G4" s="15" t="s">
        <v>31</v>
      </c>
      <c r="H4" s="16" t="n">
        <f aca="false">SUMPRODUCT(ISNUMBER(MATCH(B4:B53,{"I","II","III","IV"},0))*ISNUMBER(MATCH(C4:C53,{"I","II","III","IV"},0)))</f>
        <v>0</v>
      </c>
    </row>
    <row r="5" customFormat="false" ht="15" hidden="false" customHeight="true" outlineLevel="0" collapsed="false">
      <c r="A5" s="13" t="str">
        <f aca="false">IF(Protocolos!A5="","",Protocolos!A5)</f>
        <v/>
      </c>
      <c r="B5" s="14"/>
      <c r="C5" s="14"/>
      <c r="D5" s="13" t="str">
        <f aca="false">IF(OR(B5="",C5=""),"",IF(AND(ISNUMBER(MATCH(B5,{"I","II","III","IV"},0)),ISNUMBER(MATCH(C5,{"I","II","III","IV"},0))),IF(B5=C5,"Sí","No"),""))</f>
        <v/>
      </c>
      <c r="E5" s="13" t="str">
        <f aca="false">IF(OR(B5="",C5=""),"",IF(AND(ISNUMBER(MATCH(B5,{"I","II","III","IV"},0)),ISNUMBER(MATCH(C5,{"I","II","III","IV"},0))),ABS(MATCH(B5,{"I","II","III","IV"},0)-MATCH(C5,{"I","II","III","IV"},0)),""))</f>
        <v/>
      </c>
      <c r="G5" s="15" t="s">
        <v>32</v>
      </c>
      <c r="H5" s="16" t="n">
        <f aca="false">COUNTIF(D4:D53,"Sí")</f>
        <v>0</v>
      </c>
    </row>
    <row r="6" customFormat="false" ht="15" hidden="false" customHeight="true" outlineLevel="0" collapsed="false">
      <c r="A6" s="13" t="str">
        <f aca="false">IF(Protocolos!A6="","",Protocolos!A6)</f>
        <v/>
      </c>
      <c r="B6" s="14"/>
      <c r="C6" s="14"/>
      <c r="D6" s="13" t="str">
        <f aca="false">IF(OR(B6="",C6=""),"",IF(AND(ISNUMBER(MATCH(B6,{"I","II","III","IV"},0)),ISNUMBER(MATCH(C6,{"I","II","III","IV"},0))),IF(B6=C6,"Sí","No"),""))</f>
        <v/>
      </c>
      <c r="E6" s="13" t="str">
        <f aca="false">IF(OR(B6="",C6=""),"",IF(AND(ISNUMBER(MATCH(B6,{"I","II","III","IV"},0)),ISNUMBER(MATCH(C6,{"I","II","III","IV"},0))),ABS(MATCH(B6,{"I","II","III","IV"},0)-MATCH(C6,{"I","II","III","IV"},0)),""))</f>
        <v/>
      </c>
      <c r="G6" s="15" t="s">
        <v>33</v>
      </c>
      <c r="H6" s="16" t="n">
        <f aca="false">COUNTIF(D4:D53,"No")</f>
        <v>0</v>
      </c>
    </row>
    <row r="7" customFormat="false" ht="15" hidden="false" customHeight="true" outlineLevel="0" collapsed="false">
      <c r="A7" s="13" t="str">
        <f aca="false">IF(Protocolos!A7="","",Protocolos!A7)</f>
        <v/>
      </c>
      <c r="B7" s="14"/>
      <c r="C7" s="14"/>
      <c r="D7" s="13" t="str">
        <f aca="false">IF(OR(B7="",C7=""),"",IF(AND(ISNUMBER(MATCH(B7,{"I","II","III","IV"},0)),ISNUMBER(MATCH(C7,{"I","II","III","IV"},0))),IF(B7=C7,"Sí","No"),""))</f>
        <v/>
      </c>
      <c r="E7" s="13" t="str">
        <f aca="false">IF(OR(B7="",C7=""),"",IF(AND(ISNUMBER(MATCH(B7,{"I","II","III","IV"},0)),ISNUMBER(MATCH(C7,{"I","II","III","IV"},0))),ABS(MATCH(B7,{"I","II","III","IV"},0)-MATCH(C7,{"I","II","III","IV"},0)),""))</f>
        <v/>
      </c>
      <c r="G7" s="15" t="s">
        <v>34</v>
      </c>
      <c r="H7" s="17" t="str">
        <f aca="false">IF(H4=0,"",H5/H4)</f>
        <v/>
      </c>
    </row>
    <row r="8" customFormat="false" ht="15" hidden="false" customHeight="true" outlineLevel="0" collapsed="false">
      <c r="A8" s="13" t="str">
        <f aca="false">IF(Protocolos!A8="","",Protocolos!A8)</f>
        <v/>
      </c>
      <c r="B8" s="14"/>
      <c r="C8" s="14"/>
      <c r="D8" s="13" t="str">
        <f aca="false">IF(OR(B8="",C8=""),"",IF(AND(ISNUMBER(MATCH(B8,{"I","II","III","IV"},0)),ISNUMBER(MATCH(C8,{"I","II","III","IV"},0))),IF(B8=C8,"Sí","No"),""))</f>
        <v/>
      </c>
      <c r="E8" s="13" t="str">
        <f aca="false">IF(OR(B8="",C8=""),"",IF(AND(ISNUMBER(MATCH(B8,{"I","II","III","IV"},0)),ISNUMBER(MATCH(C8,{"I","II","III","IV"},0))),ABS(MATCH(B8,{"I","II","III","IV"},0)-MATCH(C8,{"I","II","III","IV"},0)),""))</f>
        <v/>
      </c>
      <c r="G8" s="15" t="s">
        <v>35</v>
      </c>
      <c r="H8" s="17" t="str">
        <f aca="false">IF(H4=0,"",(SUMPRODUCT((B4:B53="I")*ISNUMBER(MATCH(C4:C53,{"I","II","III","IV"},0)))*SUMPRODUCT((C4:C53="I")*ISNUMBER(MATCH(B4:B53,{"I","II","III","IV"},0)))+SUMPRODUCT((B4:B53="II")*ISNUMBER(MATCH(C4:C53,{"I","II","III","IV"},0)))*SUMPRODUCT((C4:C53="II")*ISNUMBER(MATCH(B4:B53,{"I","II","III","IV"},0)))+SUMPRODUCT((B4:B53="III")*ISNUMBER(MATCH(C4:C53,{"I","II","III","IV"},0)))*SUMPRODUCT((C4:C53="III")*ISNUMBER(MATCH(B4:B53,{"I","II","III","IV"},0)))+SUMPRODUCT((B4:B53="IV")*ISNUMBER(MATCH(C4:C53,{"I","II","III","IV"},0)))*SUMPRODUCT((C4:C53="IV")*ISNUMBER(MATCH(B4:B53,{"I","II","III","IV"},0))))/(H4*H4))</f>
        <v/>
      </c>
    </row>
    <row r="9" customFormat="false" ht="15" hidden="false" customHeight="true" outlineLevel="0" collapsed="false">
      <c r="A9" s="13" t="str">
        <f aca="false">IF(Protocolos!A9="","",Protocolos!A9)</f>
        <v/>
      </c>
      <c r="B9" s="14"/>
      <c r="C9" s="14"/>
      <c r="D9" s="13" t="str">
        <f aca="false">IF(OR(B9="",C9=""),"",IF(AND(ISNUMBER(MATCH(B9,{"I","II","III","IV"},0)),ISNUMBER(MATCH(C9,{"I","II","III","IV"},0))),IF(B9=C9,"Sí","No"),""))</f>
        <v/>
      </c>
      <c r="E9" s="13" t="str">
        <f aca="false">IF(OR(B9="",C9=""),"",IF(AND(ISNUMBER(MATCH(B9,{"I","II","III","IV"},0)),ISNUMBER(MATCH(C9,{"I","II","III","IV"},0))),ABS(MATCH(B9,{"I","II","III","IV"},0)-MATCH(C9,{"I","II","III","IV"},0)),""))</f>
        <v/>
      </c>
      <c r="G9" s="15" t="s">
        <v>36</v>
      </c>
      <c r="H9" s="18" t="str">
        <f aca="false">IF(OR(H4=0,H8=1),"",(H7-H8)/(1-H8))</f>
        <v/>
      </c>
    </row>
    <row r="10" customFormat="false" ht="15" hidden="false" customHeight="true" outlineLevel="0" collapsed="false">
      <c r="A10" s="13" t="str">
        <f aca="false">IF(Protocolos!A10="","",Protocolos!A10)</f>
        <v/>
      </c>
      <c r="B10" s="14"/>
      <c r="C10" s="14"/>
      <c r="D10" s="13" t="str">
        <f aca="false">IF(OR(B10="",C10=""),"",IF(AND(ISNUMBER(MATCH(B10,{"I","II","III","IV"},0)),ISNUMBER(MATCH(C10,{"I","II","III","IV"},0))),IF(B10=C10,"Sí","No"),""))</f>
        <v/>
      </c>
      <c r="E10" s="13" t="str">
        <f aca="false">IF(OR(B10="",C10=""),"",IF(AND(ISNUMBER(MATCH(B10,{"I","II","III","IV"},0)),ISNUMBER(MATCH(C10,{"I","II","III","IV"},0))),ABS(MATCH(B10,{"I","II","III","IV"},0)-MATCH(C10,{"I","II","III","IV"},0)),""))</f>
        <v/>
      </c>
      <c r="G10" s="15" t="s">
        <v>37</v>
      </c>
      <c r="H10" s="13" t="str">
        <f aca="false">IF(H9="","",IF(H9&lt;0.4,"Insuficiente",IF(H9&lt;0.6,"Moderada",IF(H9&lt;0.8,"Sustancial","Casi perfecta"))))</f>
        <v/>
      </c>
    </row>
    <row r="11" customFormat="false" ht="15" hidden="false" customHeight="true" outlineLevel="0" collapsed="false">
      <c r="A11" s="13" t="str">
        <f aca="false">IF(Protocolos!A11="","",Protocolos!A11)</f>
        <v/>
      </c>
      <c r="B11" s="14"/>
      <c r="C11" s="14"/>
      <c r="D11" s="13" t="str">
        <f aca="false">IF(OR(B11="",C11=""),"",IF(AND(ISNUMBER(MATCH(B11,{"I","II","III","IV"},0)),ISNUMBER(MATCH(C11,{"I","II","III","IV"},0))),IF(B11=C11,"Sí","No"),""))</f>
        <v/>
      </c>
      <c r="E11" s="13" t="str">
        <f aca="false">IF(OR(B11="",C11=""),"",IF(AND(ISNUMBER(MATCH(B11,{"I","II","III","IV"},0)),ISNUMBER(MATCH(C11,{"I","II","III","IV"},0))),ABS(MATCH(B11,{"I","II","III","IV"},0)-MATCH(C11,{"I","II","III","IV"},0)),""))</f>
        <v/>
      </c>
    </row>
    <row r="12" customFormat="false" ht="15" hidden="false" customHeight="true" outlineLevel="0" collapsed="false">
      <c r="A12" s="13" t="str">
        <f aca="false">IF(Protocolos!A12="","",Protocolos!A12)</f>
        <v/>
      </c>
      <c r="B12" s="14"/>
      <c r="C12" s="14"/>
      <c r="D12" s="13" t="str">
        <f aca="false">IF(OR(B12="",C12=""),"",IF(AND(ISNUMBER(MATCH(B12,{"I","II","III","IV"},0)),ISNUMBER(MATCH(C12,{"I","II","III","IV"},0))),IF(B12=C12,"Sí","No"),""))</f>
        <v/>
      </c>
      <c r="E12" s="13" t="str">
        <f aca="false">IF(OR(B12="",C12=""),"",IF(AND(ISNUMBER(MATCH(B12,{"I","II","III","IV"},0)),ISNUMBER(MATCH(C12,{"I","II","III","IV"},0))),ABS(MATCH(B12,{"I","II","III","IV"},0)-MATCH(C12,{"I","II","III","IV"},0)),""))</f>
        <v/>
      </c>
      <c r="G12" s="19" t="s">
        <v>38</v>
      </c>
      <c r="H12" s="19"/>
    </row>
    <row r="13" customFormat="false" ht="15" hidden="false" customHeight="true" outlineLevel="0" collapsed="false">
      <c r="A13" s="13" t="str">
        <f aca="false">IF(Protocolos!A13="","",Protocolos!A13)</f>
        <v/>
      </c>
      <c r="B13" s="14"/>
      <c r="C13" s="14"/>
      <c r="D13" s="13" t="str">
        <f aca="false">IF(OR(B13="",C13=""),"",IF(AND(ISNUMBER(MATCH(B13,{"I","II","III","IV"},0)),ISNUMBER(MATCH(C13,{"I","II","III","IV"},0))),IF(B13=C13,"Sí","No"),""))</f>
        <v/>
      </c>
      <c r="E13" s="13" t="str">
        <f aca="false">IF(OR(B13="",C13=""),"",IF(AND(ISNUMBER(MATCH(B13,{"I","II","III","IV"},0)),ISNUMBER(MATCH(C13,{"I","II","III","IV"},0))),ABS(MATCH(B13,{"I","II","III","IV"},0)-MATCH(C13,{"I","II","III","IV"},0)),""))</f>
        <v/>
      </c>
    </row>
    <row r="14" customFormat="false" ht="15" hidden="false" customHeight="true" outlineLevel="0" collapsed="false">
      <c r="A14" s="13" t="str">
        <f aca="false">IF(Protocolos!A14="","",Protocolos!A14)</f>
        <v/>
      </c>
      <c r="B14" s="14"/>
      <c r="C14" s="14"/>
      <c r="D14" s="13" t="str">
        <f aca="false">IF(OR(B14="",C14=""),"",IF(AND(ISNUMBER(MATCH(B14,{"I","II","III","IV"},0)),ISNUMBER(MATCH(C14,{"I","II","III","IV"},0))),IF(B14=C14,"Sí","No"),""))</f>
        <v/>
      </c>
      <c r="E14" s="13" t="str">
        <f aca="false">IF(OR(B14="",C14=""),"",IF(AND(ISNUMBER(MATCH(B14,{"I","II","III","IV"},0)),ISNUMBER(MATCH(C14,{"I","II","III","IV"},0))),ABS(MATCH(B14,{"I","II","III","IV"},0)-MATCH(C14,{"I","II","III","IV"},0)),""))</f>
        <v/>
      </c>
      <c r="G14" s="20" t="s">
        <v>39</v>
      </c>
      <c r="H14" s="20"/>
    </row>
    <row r="15" customFormat="false" ht="15" hidden="false" customHeight="true" outlineLevel="0" collapsed="false">
      <c r="A15" s="13" t="str">
        <f aca="false">IF(Protocolos!A15="","",Protocolos!A15)</f>
        <v/>
      </c>
      <c r="B15" s="14"/>
      <c r="C15" s="14"/>
      <c r="D15" s="13" t="str">
        <f aca="false">IF(OR(B15="",C15=""),"",IF(AND(ISNUMBER(MATCH(B15,{"I","II","III","IV"},0)),ISNUMBER(MATCH(C15,{"I","II","III","IV"},0))),IF(B15=C15,"Sí","No"),""))</f>
        <v/>
      </c>
      <c r="E15" s="13" t="str">
        <f aca="false">IF(OR(B15="",C15=""),"",IF(AND(ISNUMBER(MATCH(B15,{"I","II","III","IV"},0)),ISNUMBER(MATCH(C15,{"I","II","III","IV"},0))),ABS(MATCH(B15,{"I","II","III","IV"},0)-MATCH(C15,{"I","II","III","IV"},0)),""))</f>
        <v/>
      </c>
      <c r="G15" s="21" t="s">
        <v>40</v>
      </c>
      <c r="H15" s="22" t="n">
        <f aca="false">COUNTIFS(B4:B53,"&lt;&gt;",C4:C53,"&lt;&gt;")</f>
        <v>0</v>
      </c>
    </row>
    <row r="16" customFormat="false" ht="15" hidden="false" customHeight="true" outlineLevel="0" collapsed="false">
      <c r="A16" s="13" t="str">
        <f aca="false">IF(Protocolos!A16="","",Protocolos!A16)</f>
        <v/>
      </c>
      <c r="B16" s="14"/>
      <c r="C16" s="14"/>
      <c r="D16" s="13" t="str">
        <f aca="false">IF(OR(B16="",C16=""),"",IF(AND(ISNUMBER(MATCH(B16,{"I","II","III","IV"},0)),ISNUMBER(MATCH(C16,{"I","II","III","IV"},0))),IF(B16=C16,"Sí","No"),""))</f>
        <v/>
      </c>
      <c r="E16" s="13" t="str">
        <f aca="false">IF(OR(B16="",C16=""),"",IF(AND(ISNUMBER(MATCH(B16,{"I","II","III","IV"},0)),ISNUMBER(MATCH(C16,{"I","II","III","IV"},0))),ABS(MATCH(B16,{"I","II","III","IV"},0)-MATCH(C16,{"I","II","III","IV"},0)),""))</f>
        <v/>
      </c>
      <c r="G16" s="21" t="s">
        <v>41</v>
      </c>
      <c r="H16" s="22" t="n">
        <f aca="false">IF(H15="","",H15-H4)</f>
        <v>0</v>
      </c>
    </row>
    <row r="17" customFormat="false" ht="15" hidden="false" customHeight="true" outlineLevel="0" collapsed="false">
      <c r="A17" s="13" t="str">
        <f aca="false">IF(Protocolos!A17="","",Protocolos!A17)</f>
        <v/>
      </c>
      <c r="B17" s="14"/>
      <c r="C17" s="14"/>
      <c r="D17" s="13" t="str">
        <f aca="false">IF(OR(B17="",C17=""),"",IF(AND(ISNUMBER(MATCH(B17,{"I","II","III","IV"},0)),ISNUMBER(MATCH(C17,{"I","II","III","IV"},0))),IF(B17=C17,"Sí","No"),""))</f>
        <v/>
      </c>
      <c r="E17" s="13" t="str">
        <f aca="false">IF(OR(B17="",C17=""),"",IF(AND(ISNUMBER(MATCH(B17,{"I","II","III","IV"},0)),ISNUMBER(MATCH(C17,{"I","II","III","IV"},0))),ABS(MATCH(B17,{"I","II","III","IV"},0)-MATCH(C17,{"I","II","III","IV"},0)),""))</f>
        <v/>
      </c>
      <c r="G17" s="21" t="s">
        <v>42</v>
      </c>
      <c r="H17" s="23" t="str">
        <f aca="false">IF(H15=0,"",(H4+COUNTIFS(B4:B53,"NO EVALUABLE",C4:C53,"NO EVALUABLE"))/H15)</f>
        <v/>
      </c>
    </row>
    <row r="18" customFormat="false" ht="15" hidden="false" customHeight="true" outlineLevel="0" collapsed="false">
      <c r="A18" s="13" t="str">
        <f aca="false">IF(Protocolos!A18="","",Protocolos!A18)</f>
        <v/>
      </c>
      <c r="B18" s="14"/>
      <c r="C18" s="14"/>
      <c r="D18" s="13" t="str">
        <f aca="false">IF(OR(B18="",C18=""),"",IF(AND(ISNUMBER(MATCH(B18,{"I","II","III","IV"},0)),ISNUMBER(MATCH(C18,{"I","II","III","IV"},0))),IF(B18=C18,"Sí","No"),""))</f>
        <v/>
      </c>
      <c r="E18" s="13" t="str">
        <f aca="false">IF(OR(B18="",C18=""),"",IF(AND(ISNUMBER(MATCH(B18,{"I","II","III","IV"},0)),ISNUMBER(MATCH(C18,{"I","II","III","IV"},0))),ABS(MATCH(B18,{"I","II","III","IV"},0)-MATCH(C18,{"I","II","III","IV"},0)),""))</f>
        <v/>
      </c>
    </row>
    <row r="19" customFormat="false" ht="15" hidden="false" customHeight="true" outlineLevel="0" collapsed="false">
      <c r="A19" s="13" t="str">
        <f aca="false">IF(Protocolos!A19="","",Protocolos!A19)</f>
        <v/>
      </c>
      <c r="B19" s="14"/>
      <c r="C19" s="14"/>
      <c r="D19" s="13" t="str">
        <f aca="false">IF(OR(B19="",C19=""),"",IF(AND(ISNUMBER(MATCH(B19,{"I","II","III","IV"},0)),ISNUMBER(MATCH(C19,{"I","II","III","IV"},0))),IF(B19=C19,"Sí","No"),""))</f>
        <v/>
      </c>
      <c r="E19" s="13" t="str">
        <f aca="false">IF(OR(B19="",C19=""),"",IF(AND(ISNUMBER(MATCH(B19,{"I","II","III","IV"},0)),ISNUMBER(MATCH(C19,{"I","II","III","IV"},0))),ABS(MATCH(B19,{"I","II","III","IV"},0)-MATCH(C19,{"I","II","III","IV"},0)),""))</f>
        <v/>
      </c>
    </row>
    <row r="20" customFormat="false" ht="15" hidden="false" customHeight="true" outlineLevel="0" collapsed="false">
      <c r="A20" s="13" t="str">
        <f aca="false">IF(Protocolos!A20="","",Protocolos!A20)</f>
        <v/>
      </c>
      <c r="B20" s="14"/>
      <c r="C20" s="14"/>
      <c r="D20" s="13" t="str">
        <f aca="false">IF(OR(B20="",C20=""),"",IF(AND(ISNUMBER(MATCH(B20,{"I","II","III","IV"},0)),ISNUMBER(MATCH(C20,{"I","II","III","IV"},0))),IF(B20=C20,"Sí","No"),""))</f>
        <v/>
      </c>
      <c r="E20" s="13" t="str">
        <f aca="false">IF(OR(B20="",C20=""),"",IF(AND(ISNUMBER(MATCH(B20,{"I","II","III","IV"},0)),ISNUMBER(MATCH(C20,{"I","II","III","IV"},0))),ABS(MATCH(B20,{"I","II","III","IV"},0)-MATCH(C20,{"I","II","III","IV"},0)),""))</f>
        <v/>
      </c>
    </row>
    <row r="21" customFormat="false" ht="15" hidden="false" customHeight="true" outlineLevel="0" collapsed="false">
      <c r="A21" s="13" t="str">
        <f aca="false">IF(Protocolos!A21="","",Protocolos!A21)</f>
        <v/>
      </c>
      <c r="B21" s="14"/>
      <c r="C21" s="14"/>
      <c r="D21" s="13" t="str">
        <f aca="false">IF(OR(B21="",C21=""),"",IF(AND(ISNUMBER(MATCH(B21,{"I","II","III","IV"},0)),ISNUMBER(MATCH(C21,{"I","II","III","IV"},0))),IF(B21=C21,"Sí","No"),""))</f>
        <v/>
      </c>
      <c r="E21" s="13" t="str">
        <f aca="false">IF(OR(B21="",C21=""),"",IF(AND(ISNUMBER(MATCH(B21,{"I","II","III","IV"},0)),ISNUMBER(MATCH(C21,{"I","II","III","IV"},0))),ABS(MATCH(B21,{"I","II","III","IV"},0)-MATCH(C21,{"I","II","III","IV"},0)),""))</f>
        <v/>
      </c>
    </row>
    <row r="22" customFormat="false" ht="15" hidden="false" customHeight="true" outlineLevel="0" collapsed="false">
      <c r="A22" s="13" t="str">
        <f aca="false">IF(Protocolos!A22="","",Protocolos!A22)</f>
        <v/>
      </c>
      <c r="B22" s="14"/>
      <c r="C22" s="14"/>
      <c r="D22" s="13" t="str">
        <f aca="false">IF(OR(B22="",C22=""),"",IF(AND(ISNUMBER(MATCH(B22,{"I","II","III","IV"},0)),ISNUMBER(MATCH(C22,{"I","II","III","IV"},0))),IF(B22=C22,"Sí","No"),""))</f>
        <v/>
      </c>
      <c r="E22" s="13" t="str">
        <f aca="false">IF(OR(B22="",C22=""),"",IF(AND(ISNUMBER(MATCH(B22,{"I","II","III","IV"},0)),ISNUMBER(MATCH(C22,{"I","II","III","IV"},0))),ABS(MATCH(B22,{"I","II","III","IV"},0)-MATCH(C22,{"I","II","III","IV"},0)),""))</f>
        <v/>
      </c>
    </row>
    <row r="23" customFormat="false" ht="15" hidden="false" customHeight="true" outlineLevel="0" collapsed="false">
      <c r="A23" s="13" t="str">
        <f aca="false">IF(Protocolos!A23="","",Protocolos!A23)</f>
        <v/>
      </c>
      <c r="B23" s="14"/>
      <c r="C23" s="14"/>
      <c r="D23" s="13" t="str">
        <f aca="false">IF(OR(B23="",C23=""),"",IF(AND(ISNUMBER(MATCH(B23,{"I","II","III","IV"},0)),ISNUMBER(MATCH(C23,{"I","II","III","IV"},0))),IF(B23=C23,"Sí","No"),""))</f>
        <v/>
      </c>
      <c r="E23" s="13" t="str">
        <f aca="false">IF(OR(B23="",C23=""),"",IF(AND(ISNUMBER(MATCH(B23,{"I","II","III","IV"},0)),ISNUMBER(MATCH(C23,{"I","II","III","IV"},0))),ABS(MATCH(B23,{"I","II","III","IV"},0)-MATCH(C23,{"I","II","III","IV"},0)),""))</f>
        <v/>
      </c>
    </row>
    <row r="24" customFormat="false" ht="15" hidden="false" customHeight="true" outlineLevel="0" collapsed="false">
      <c r="A24" s="13" t="str">
        <f aca="false">IF(Protocolos!A24="","",Protocolos!A24)</f>
        <v/>
      </c>
      <c r="B24" s="14"/>
      <c r="C24" s="14"/>
      <c r="D24" s="13" t="str">
        <f aca="false">IF(OR(B24="",C24=""),"",IF(AND(ISNUMBER(MATCH(B24,{"I","II","III","IV"},0)),ISNUMBER(MATCH(C24,{"I","II","III","IV"},0))),IF(B24=C24,"Sí","No"),""))</f>
        <v/>
      </c>
      <c r="E24" s="13" t="str">
        <f aca="false">IF(OR(B24="",C24=""),"",IF(AND(ISNUMBER(MATCH(B24,{"I","II","III","IV"},0)),ISNUMBER(MATCH(C24,{"I","II","III","IV"},0))),ABS(MATCH(B24,{"I","II","III","IV"},0)-MATCH(C24,{"I","II","III","IV"},0)),""))</f>
        <v/>
      </c>
    </row>
    <row r="25" customFormat="false" ht="15" hidden="false" customHeight="true" outlineLevel="0" collapsed="false">
      <c r="A25" s="13" t="str">
        <f aca="false">IF(Protocolos!A25="","",Protocolos!A25)</f>
        <v/>
      </c>
      <c r="B25" s="14"/>
      <c r="C25" s="14"/>
      <c r="D25" s="13" t="str">
        <f aca="false">IF(OR(B25="",C25=""),"",IF(AND(ISNUMBER(MATCH(B25,{"I","II","III","IV"},0)),ISNUMBER(MATCH(C25,{"I","II","III","IV"},0))),IF(B25=C25,"Sí","No"),""))</f>
        <v/>
      </c>
      <c r="E25" s="13" t="str">
        <f aca="false">IF(OR(B25="",C25=""),"",IF(AND(ISNUMBER(MATCH(B25,{"I","II","III","IV"},0)),ISNUMBER(MATCH(C25,{"I","II","III","IV"},0))),ABS(MATCH(B25,{"I","II","III","IV"},0)-MATCH(C25,{"I","II","III","IV"},0)),""))</f>
        <v/>
      </c>
    </row>
    <row r="26" customFormat="false" ht="15" hidden="false" customHeight="true" outlineLevel="0" collapsed="false">
      <c r="A26" s="13" t="str">
        <f aca="false">IF(Protocolos!A26="","",Protocolos!A26)</f>
        <v/>
      </c>
      <c r="B26" s="14"/>
      <c r="C26" s="14"/>
      <c r="D26" s="13" t="str">
        <f aca="false">IF(OR(B26="",C26=""),"",IF(AND(ISNUMBER(MATCH(B26,{"I","II","III","IV"},0)),ISNUMBER(MATCH(C26,{"I","II","III","IV"},0))),IF(B26=C26,"Sí","No"),""))</f>
        <v/>
      </c>
      <c r="E26" s="13" t="str">
        <f aca="false">IF(OR(B26="",C26=""),"",IF(AND(ISNUMBER(MATCH(B26,{"I","II","III","IV"},0)),ISNUMBER(MATCH(C26,{"I","II","III","IV"},0))),ABS(MATCH(B26,{"I","II","III","IV"},0)-MATCH(C26,{"I","II","III","IV"},0)),""))</f>
        <v/>
      </c>
    </row>
    <row r="27" customFormat="false" ht="15" hidden="false" customHeight="true" outlineLevel="0" collapsed="false">
      <c r="A27" s="13" t="str">
        <f aca="false">IF(Protocolos!A27="","",Protocolos!A27)</f>
        <v/>
      </c>
      <c r="B27" s="14"/>
      <c r="C27" s="14"/>
      <c r="D27" s="13" t="str">
        <f aca="false">IF(OR(B27="",C27=""),"",IF(AND(ISNUMBER(MATCH(B27,{"I","II","III","IV"},0)),ISNUMBER(MATCH(C27,{"I","II","III","IV"},0))),IF(B27=C27,"Sí","No"),""))</f>
        <v/>
      </c>
      <c r="E27" s="13" t="str">
        <f aca="false">IF(OR(B27="",C27=""),"",IF(AND(ISNUMBER(MATCH(B27,{"I","II","III","IV"},0)),ISNUMBER(MATCH(C27,{"I","II","III","IV"},0))),ABS(MATCH(B27,{"I","II","III","IV"},0)-MATCH(C27,{"I","II","III","IV"},0)),""))</f>
        <v/>
      </c>
    </row>
    <row r="28" customFormat="false" ht="15" hidden="false" customHeight="true" outlineLevel="0" collapsed="false">
      <c r="A28" s="13" t="str">
        <f aca="false">IF(Protocolos!A28="","",Protocolos!A28)</f>
        <v/>
      </c>
      <c r="B28" s="14"/>
      <c r="C28" s="14"/>
      <c r="D28" s="13" t="str">
        <f aca="false">IF(OR(B28="",C28=""),"",IF(AND(ISNUMBER(MATCH(B28,{"I","II","III","IV"},0)),ISNUMBER(MATCH(C28,{"I","II","III","IV"},0))),IF(B28=C28,"Sí","No"),""))</f>
        <v/>
      </c>
      <c r="E28" s="13" t="str">
        <f aca="false">IF(OR(B28="",C28=""),"",IF(AND(ISNUMBER(MATCH(B28,{"I","II","III","IV"},0)),ISNUMBER(MATCH(C28,{"I","II","III","IV"},0))),ABS(MATCH(B28,{"I","II","III","IV"},0)-MATCH(C28,{"I","II","III","IV"},0)),""))</f>
        <v/>
      </c>
    </row>
    <row r="29" customFormat="false" ht="15" hidden="false" customHeight="true" outlineLevel="0" collapsed="false">
      <c r="A29" s="13" t="str">
        <f aca="false">IF(Protocolos!A29="","",Protocolos!A29)</f>
        <v/>
      </c>
      <c r="B29" s="14"/>
      <c r="C29" s="14"/>
      <c r="D29" s="13" t="str">
        <f aca="false">IF(OR(B29="",C29=""),"",IF(AND(ISNUMBER(MATCH(B29,{"I","II","III","IV"},0)),ISNUMBER(MATCH(C29,{"I","II","III","IV"},0))),IF(B29=C29,"Sí","No"),""))</f>
        <v/>
      </c>
      <c r="E29" s="13" t="str">
        <f aca="false">IF(OR(B29="",C29=""),"",IF(AND(ISNUMBER(MATCH(B29,{"I","II","III","IV"},0)),ISNUMBER(MATCH(C29,{"I","II","III","IV"},0))),ABS(MATCH(B29,{"I","II","III","IV"},0)-MATCH(C29,{"I","II","III","IV"},0)),""))</f>
        <v/>
      </c>
    </row>
    <row r="30" customFormat="false" ht="15" hidden="false" customHeight="true" outlineLevel="0" collapsed="false">
      <c r="A30" s="13" t="str">
        <f aca="false">IF(Protocolos!A30="","",Protocolos!A30)</f>
        <v/>
      </c>
      <c r="B30" s="14"/>
      <c r="C30" s="14"/>
      <c r="D30" s="13" t="str">
        <f aca="false">IF(OR(B30="",C30=""),"",IF(AND(ISNUMBER(MATCH(B30,{"I","II","III","IV"},0)),ISNUMBER(MATCH(C30,{"I","II","III","IV"},0))),IF(B30=C30,"Sí","No"),""))</f>
        <v/>
      </c>
      <c r="E30" s="13" t="str">
        <f aca="false">IF(OR(B30="",C30=""),"",IF(AND(ISNUMBER(MATCH(B30,{"I","II","III","IV"},0)),ISNUMBER(MATCH(C30,{"I","II","III","IV"},0))),ABS(MATCH(B30,{"I","II","III","IV"},0)-MATCH(C30,{"I","II","III","IV"},0)),""))</f>
        <v/>
      </c>
    </row>
    <row r="31" customFormat="false" ht="15" hidden="false" customHeight="true" outlineLevel="0" collapsed="false">
      <c r="A31" s="13" t="str">
        <f aca="false">IF(Protocolos!A31="","",Protocolos!A31)</f>
        <v/>
      </c>
      <c r="B31" s="14"/>
      <c r="C31" s="14"/>
      <c r="D31" s="13" t="str">
        <f aca="false">IF(OR(B31="",C31=""),"",IF(AND(ISNUMBER(MATCH(B31,{"I","II","III","IV"},0)),ISNUMBER(MATCH(C31,{"I","II","III","IV"},0))),IF(B31=C31,"Sí","No"),""))</f>
        <v/>
      </c>
      <c r="E31" s="13" t="str">
        <f aca="false">IF(OR(B31="",C31=""),"",IF(AND(ISNUMBER(MATCH(B31,{"I","II","III","IV"},0)),ISNUMBER(MATCH(C31,{"I","II","III","IV"},0))),ABS(MATCH(B31,{"I","II","III","IV"},0)-MATCH(C31,{"I","II","III","IV"},0)),""))</f>
        <v/>
      </c>
    </row>
    <row r="32" customFormat="false" ht="15" hidden="false" customHeight="true" outlineLevel="0" collapsed="false">
      <c r="A32" s="13" t="str">
        <f aca="false">IF(Protocolos!A32="","",Protocolos!A32)</f>
        <v/>
      </c>
      <c r="B32" s="14"/>
      <c r="C32" s="14"/>
      <c r="D32" s="13" t="str">
        <f aca="false">IF(OR(B32="",C32=""),"",IF(AND(ISNUMBER(MATCH(B32,{"I","II","III","IV"},0)),ISNUMBER(MATCH(C32,{"I","II","III","IV"},0))),IF(B32=C32,"Sí","No"),""))</f>
        <v/>
      </c>
      <c r="E32" s="13" t="str">
        <f aca="false">IF(OR(B32="",C32=""),"",IF(AND(ISNUMBER(MATCH(B32,{"I","II","III","IV"},0)),ISNUMBER(MATCH(C32,{"I","II","III","IV"},0))),ABS(MATCH(B32,{"I","II","III","IV"},0)-MATCH(C32,{"I","II","III","IV"},0)),""))</f>
        <v/>
      </c>
    </row>
    <row r="33" customFormat="false" ht="15" hidden="false" customHeight="true" outlineLevel="0" collapsed="false">
      <c r="A33" s="13" t="str">
        <f aca="false">IF(Protocolos!A33="","",Protocolos!A33)</f>
        <v/>
      </c>
      <c r="B33" s="14"/>
      <c r="C33" s="14"/>
      <c r="D33" s="13" t="str">
        <f aca="false">IF(OR(B33="",C33=""),"",IF(AND(ISNUMBER(MATCH(B33,{"I","II","III","IV"},0)),ISNUMBER(MATCH(C33,{"I","II","III","IV"},0))),IF(B33=C33,"Sí","No"),""))</f>
        <v/>
      </c>
      <c r="E33" s="13" t="str">
        <f aca="false">IF(OR(B33="",C33=""),"",IF(AND(ISNUMBER(MATCH(B33,{"I","II","III","IV"},0)),ISNUMBER(MATCH(C33,{"I","II","III","IV"},0))),ABS(MATCH(B33,{"I","II","III","IV"},0)-MATCH(C33,{"I","II","III","IV"},0)),""))</f>
        <v/>
      </c>
    </row>
    <row r="34" customFormat="false" ht="15" hidden="false" customHeight="true" outlineLevel="0" collapsed="false">
      <c r="A34" s="13" t="str">
        <f aca="false">IF(Protocolos!A34="","",Protocolos!A34)</f>
        <v/>
      </c>
      <c r="B34" s="14"/>
      <c r="C34" s="14"/>
      <c r="D34" s="13" t="str">
        <f aca="false">IF(OR(B34="",C34=""),"",IF(AND(ISNUMBER(MATCH(B34,{"I","II","III","IV"},0)),ISNUMBER(MATCH(C34,{"I","II","III","IV"},0))),IF(B34=C34,"Sí","No"),""))</f>
        <v/>
      </c>
      <c r="E34" s="13" t="str">
        <f aca="false">IF(OR(B34="",C34=""),"",IF(AND(ISNUMBER(MATCH(B34,{"I","II","III","IV"},0)),ISNUMBER(MATCH(C34,{"I","II","III","IV"},0))),ABS(MATCH(B34,{"I","II","III","IV"},0)-MATCH(C34,{"I","II","III","IV"},0)),""))</f>
        <v/>
      </c>
    </row>
    <row r="35" customFormat="false" ht="15" hidden="false" customHeight="true" outlineLevel="0" collapsed="false">
      <c r="A35" s="13" t="str">
        <f aca="false">IF(Protocolos!A35="","",Protocolos!A35)</f>
        <v/>
      </c>
      <c r="B35" s="14"/>
      <c r="C35" s="14"/>
      <c r="D35" s="13" t="str">
        <f aca="false">IF(OR(B35="",C35=""),"",IF(AND(ISNUMBER(MATCH(B35,{"I","II","III","IV"},0)),ISNUMBER(MATCH(C35,{"I","II","III","IV"},0))),IF(B35=C35,"Sí","No"),""))</f>
        <v/>
      </c>
      <c r="E35" s="13" t="str">
        <f aca="false">IF(OR(B35="",C35=""),"",IF(AND(ISNUMBER(MATCH(B35,{"I","II","III","IV"},0)),ISNUMBER(MATCH(C35,{"I","II","III","IV"},0))),ABS(MATCH(B35,{"I","II","III","IV"},0)-MATCH(C35,{"I","II","III","IV"},0)),""))</f>
        <v/>
      </c>
    </row>
    <row r="36" customFormat="false" ht="15" hidden="false" customHeight="true" outlineLevel="0" collapsed="false">
      <c r="A36" s="13" t="str">
        <f aca="false">IF(Protocolos!A36="","",Protocolos!A36)</f>
        <v/>
      </c>
      <c r="B36" s="14"/>
      <c r="C36" s="14"/>
      <c r="D36" s="13" t="str">
        <f aca="false">IF(OR(B36="",C36=""),"",IF(AND(ISNUMBER(MATCH(B36,{"I","II","III","IV"},0)),ISNUMBER(MATCH(C36,{"I","II","III","IV"},0))),IF(B36=C36,"Sí","No"),""))</f>
        <v/>
      </c>
      <c r="E36" s="13" t="str">
        <f aca="false">IF(OR(B36="",C36=""),"",IF(AND(ISNUMBER(MATCH(B36,{"I","II","III","IV"},0)),ISNUMBER(MATCH(C36,{"I","II","III","IV"},0))),ABS(MATCH(B36,{"I","II","III","IV"},0)-MATCH(C36,{"I","II","III","IV"},0)),""))</f>
        <v/>
      </c>
    </row>
    <row r="37" customFormat="false" ht="15" hidden="false" customHeight="true" outlineLevel="0" collapsed="false">
      <c r="A37" s="13" t="str">
        <f aca="false">IF(Protocolos!A37="","",Protocolos!A37)</f>
        <v/>
      </c>
      <c r="B37" s="14"/>
      <c r="C37" s="14"/>
      <c r="D37" s="13" t="str">
        <f aca="false">IF(OR(B37="",C37=""),"",IF(AND(ISNUMBER(MATCH(B37,{"I","II","III","IV"},0)),ISNUMBER(MATCH(C37,{"I","II","III","IV"},0))),IF(B37=C37,"Sí","No"),""))</f>
        <v/>
      </c>
      <c r="E37" s="13" t="str">
        <f aca="false">IF(OR(B37="",C37=""),"",IF(AND(ISNUMBER(MATCH(B37,{"I","II","III","IV"},0)),ISNUMBER(MATCH(C37,{"I","II","III","IV"},0))),ABS(MATCH(B37,{"I","II","III","IV"},0)-MATCH(C37,{"I","II","III","IV"},0)),""))</f>
        <v/>
      </c>
    </row>
    <row r="38" customFormat="false" ht="15" hidden="false" customHeight="true" outlineLevel="0" collapsed="false">
      <c r="A38" s="13" t="str">
        <f aca="false">IF(Protocolos!A38="","",Protocolos!A38)</f>
        <v/>
      </c>
      <c r="B38" s="14"/>
      <c r="C38" s="14"/>
      <c r="D38" s="13" t="str">
        <f aca="false">IF(OR(B38="",C38=""),"",IF(AND(ISNUMBER(MATCH(B38,{"I","II","III","IV"},0)),ISNUMBER(MATCH(C38,{"I","II","III","IV"},0))),IF(B38=C38,"Sí","No"),""))</f>
        <v/>
      </c>
      <c r="E38" s="13" t="str">
        <f aca="false">IF(OR(B38="",C38=""),"",IF(AND(ISNUMBER(MATCH(B38,{"I","II","III","IV"},0)),ISNUMBER(MATCH(C38,{"I","II","III","IV"},0))),ABS(MATCH(B38,{"I","II","III","IV"},0)-MATCH(C38,{"I","II","III","IV"},0)),""))</f>
        <v/>
      </c>
    </row>
    <row r="39" customFormat="false" ht="15" hidden="false" customHeight="true" outlineLevel="0" collapsed="false">
      <c r="A39" s="13" t="str">
        <f aca="false">IF(Protocolos!A39="","",Protocolos!A39)</f>
        <v/>
      </c>
      <c r="B39" s="14"/>
      <c r="C39" s="14"/>
      <c r="D39" s="13" t="str">
        <f aca="false">IF(OR(B39="",C39=""),"",IF(AND(ISNUMBER(MATCH(B39,{"I","II","III","IV"},0)),ISNUMBER(MATCH(C39,{"I","II","III","IV"},0))),IF(B39=C39,"Sí","No"),""))</f>
        <v/>
      </c>
      <c r="E39" s="13" t="str">
        <f aca="false">IF(OR(B39="",C39=""),"",IF(AND(ISNUMBER(MATCH(B39,{"I","II","III","IV"},0)),ISNUMBER(MATCH(C39,{"I","II","III","IV"},0))),ABS(MATCH(B39,{"I","II","III","IV"},0)-MATCH(C39,{"I","II","III","IV"},0)),""))</f>
        <v/>
      </c>
    </row>
    <row r="40" customFormat="false" ht="15" hidden="false" customHeight="true" outlineLevel="0" collapsed="false">
      <c r="A40" s="13" t="str">
        <f aca="false">IF(Protocolos!A40="","",Protocolos!A40)</f>
        <v/>
      </c>
      <c r="B40" s="14"/>
      <c r="C40" s="14"/>
      <c r="D40" s="13" t="str">
        <f aca="false">IF(OR(B40="",C40=""),"",IF(AND(ISNUMBER(MATCH(B40,{"I","II","III","IV"},0)),ISNUMBER(MATCH(C40,{"I","II","III","IV"},0))),IF(B40=C40,"Sí","No"),""))</f>
        <v/>
      </c>
      <c r="E40" s="13" t="str">
        <f aca="false">IF(OR(B40="",C40=""),"",IF(AND(ISNUMBER(MATCH(B40,{"I","II","III","IV"},0)),ISNUMBER(MATCH(C40,{"I","II","III","IV"},0))),ABS(MATCH(B40,{"I","II","III","IV"},0)-MATCH(C40,{"I","II","III","IV"},0)),""))</f>
        <v/>
      </c>
    </row>
    <row r="41" customFormat="false" ht="15" hidden="false" customHeight="true" outlineLevel="0" collapsed="false">
      <c r="A41" s="13" t="str">
        <f aca="false">IF(Protocolos!A41="","",Protocolos!A41)</f>
        <v/>
      </c>
      <c r="B41" s="14"/>
      <c r="C41" s="14"/>
      <c r="D41" s="13" t="str">
        <f aca="false">IF(OR(B41="",C41=""),"",IF(AND(ISNUMBER(MATCH(B41,{"I","II","III","IV"},0)),ISNUMBER(MATCH(C41,{"I","II","III","IV"},0))),IF(B41=C41,"Sí","No"),""))</f>
        <v/>
      </c>
      <c r="E41" s="13" t="str">
        <f aca="false">IF(OR(B41="",C41=""),"",IF(AND(ISNUMBER(MATCH(B41,{"I","II","III","IV"},0)),ISNUMBER(MATCH(C41,{"I","II","III","IV"},0))),ABS(MATCH(B41,{"I","II","III","IV"},0)-MATCH(C41,{"I","II","III","IV"},0)),""))</f>
        <v/>
      </c>
    </row>
    <row r="42" customFormat="false" ht="15" hidden="false" customHeight="true" outlineLevel="0" collapsed="false">
      <c r="A42" s="13" t="str">
        <f aca="false">IF(Protocolos!A42="","",Protocolos!A42)</f>
        <v/>
      </c>
      <c r="B42" s="14"/>
      <c r="C42" s="14"/>
      <c r="D42" s="13" t="str">
        <f aca="false">IF(OR(B42="",C42=""),"",IF(AND(ISNUMBER(MATCH(B42,{"I","II","III","IV"},0)),ISNUMBER(MATCH(C42,{"I","II","III","IV"},0))),IF(B42=C42,"Sí","No"),""))</f>
        <v/>
      </c>
      <c r="E42" s="13" t="str">
        <f aca="false">IF(OR(B42="",C42=""),"",IF(AND(ISNUMBER(MATCH(B42,{"I","II","III","IV"},0)),ISNUMBER(MATCH(C42,{"I","II","III","IV"},0))),ABS(MATCH(B42,{"I","II","III","IV"},0)-MATCH(C42,{"I","II","III","IV"},0)),""))</f>
        <v/>
      </c>
    </row>
    <row r="43" customFormat="false" ht="15" hidden="false" customHeight="true" outlineLevel="0" collapsed="false">
      <c r="A43" s="13" t="str">
        <f aca="false">IF(Protocolos!A43="","",Protocolos!A43)</f>
        <v/>
      </c>
      <c r="B43" s="14"/>
      <c r="C43" s="14"/>
      <c r="D43" s="13" t="str">
        <f aca="false">IF(OR(B43="",C43=""),"",IF(AND(ISNUMBER(MATCH(B43,{"I","II","III","IV"},0)),ISNUMBER(MATCH(C43,{"I","II","III","IV"},0))),IF(B43=C43,"Sí","No"),""))</f>
        <v/>
      </c>
      <c r="E43" s="13" t="str">
        <f aca="false">IF(OR(B43="",C43=""),"",IF(AND(ISNUMBER(MATCH(B43,{"I","II","III","IV"},0)),ISNUMBER(MATCH(C43,{"I","II","III","IV"},0))),ABS(MATCH(B43,{"I","II","III","IV"},0)-MATCH(C43,{"I","II","III","IV"},0)),""))</f>
        <v/>
      </c>
    </row>
    <row r="44" customFormat="false" ht="15" hidden="false" customHeight="true" outlineLevel="0" collapsed="false">
      <c r="A44" s="13" t="str">
        <f aca="false">IF(Protocolos!A44="","",Protocolos!A44)</f>
        <v/>
      </c>
      <c r="B44" s="14"/>
      <c r="C44" s="14"/>
      <c r="D44" s="13" t="str">
        <f aca="false">IF(OR(B44="",C44=""),"",IF(AND(ISNUMBER(MATCH(B44,{"I","II","III","IV"},0)),ISNUMBER(MATCH(C44,{"I","II","III","IV"},0))),IF(B44=C44,"Sí","No"),""))</f>
        <v/>
      </c>
      <c r="E44" s="13" t="str">
        <f aca="false">IF(OR(B44="",C44=""),"",IF(AND(ISNUMBER(MATCH(B44,{"I","II","III","IV"},0)),ISNUMBER(MATCH(C44,{"I","II","III","IV"},0))),ABS(MATCH(B44,{"I","II","III","IV"},0)-MATCH(C44,{"I","II","III","IV"},0)),""))</f>
        <v/>
      </c>
    </row>
    <row r="45" customFormat="false" ht="15" hidden="false" customHeight="true" outlineLevel="0" collapsed="false">
      <c r="A45" s="13" t="str">
        <f aca="false">IF(Protocolos!A45="","",Protocolos!A45)</f>
        <v/>
      </c>
      <c r="B45" s="14"/>
      <c r="C45" s="14"/>
      <c r="D45" s="13" t="str">
        <f aca="false">IF(OR(B45="",C45=""),"",IF(AND(ISNUMBER(MATCH(B45,{"I","II","III","IV"},0)),ISNUMBER(MATCH(C45,{"I","II","III","IV"},0))),IF(B45=C45,"Sí","No"),""))</f>
        <v/>
      </c>
      <c r="E45" s="13" t="str">
        <f aca="false">IF(OR(B45="",C45=""),"",IF(AND(ISNUMBER(MATCH(B45,{"I","II","III","IV"},0)),ISNUMBER(MATCH(C45,{"I","II","III","IV"},0))),ABS(MATCH(B45,{"I","II","III","IV"},0)-MATCH(C45,{"I","II","III","IV"},0)),""))</f>
        <v/>
      </c>
    </row>
    <row r="46" customFormat="false" ht="15" hidden="false" customHeight="true" outlineLevel="0" collapsed="false">
      <c r="A46" s="13" t="str">
        <f aca="false">IF(Protocolos!A46="","",Protocolos!A46)</f>
        <v/>
      </c>
      <c r="B46" s="14"/>
      <c r="C46" s="14"/>
      <c r="D46" s="13" t="str">
        <f aca="false">IF(OR(B46="",C46=""),"",IF(AND(ISNUMBER(MATCH(B46,{"I","II","III","IV"},0)),ISNUMBER(MATCH(C46,{"I","II","III","IV"},0))),IF(B46=C46,"Sí","No"),""))</f>
        <v/>
      </c>
      <c r="E46" s="13" t="str">
        <f aca="false">IF(OR(B46="",C46=""),"",IF(AND(ISNUMBER(MATCH(B46,{"I","II","III","IV"},0)),ISNUMBER(MATCH(C46,{"I","II","III","IV"},0))),ABS(MATCH(B46,{"I","II","III","IV"},0)-MATCH(C46,{"I","II","III","IV"},0)),""))</f>
        <v/>
      </c>
    </row>
    <row r="47" customFormat="false" ht="15" hidden="false" customHeight="true" outlineLevel="0" collapsed="false">
      <c r="A47" s="13" t="str">
        <f aca="false">IF(Protocolos!A47="","",Protocolos!A47)</f>
        <v/>
      </c>
      <c r="B47" s="14"/>
      <c r="C47" s="14"/>
      <c r="D47" s="13" t="str">
        <f aca="false">IF(OR(B47="",C47=""),"",IF(AND(ISNUMBER(MATCH(B47,{"I","II","III","IV"},0)),ISNUMBER(MATCH(C47,{"I","II","III","IV"},0))),IF(B47=C47,"Sí","No"),""))</f>
        <v/>
      </c>
      <c r="E47" s="13" t="str">
        <f aca="false">IF(OR(B47="",C47=""),"",IF(AND(ISNUMBER(MATCH(B47,{"I","II","III","IV"},0)),ISNUMBER(MATCH(C47,{"I","II","III","IV"},0))),ABS(MATCH(B47,{"I","II","III","IV"},0)-MATCH(C47,{"I","II","III","IV"},0)),""))</f>
        <v/>
      </c>
    </row>
    <row r="48" customFormat="false" ht="15" hidden="false" customHeight="true" outlineLevel="0" collapsed="false">
      <c r="A48" s="13" t="str">
        <f aca="false">IF(Protocolos!A48="","",Protocolos!A48)</f>
        <v/>
      </c>
      <c r="B48" s="14"/>
      <c r="C48" s="14"/>
      <c r="D48" s="13" t="str">
        <f aca="false">IF(OR(B48="",C48=""),"",IF(AND(ISNUMBER(MATCH(B48,{"I","II","III","IV"},0)),ISNUMBER(MATCH(C48,{"I","II","III","IV"},0))),IF(B48=C48,"Sí","No"),""))</f>
        <v/>
      </c>
      <c r="E48" s="13" t="str">
        <f aca="false">IF(OR(B48="",C48=""),"",IF(AND(ISNUMBER(MATCH(B48,{"I","II","III","IV"},0)),ISNUMBER(MATCH(C48,{"I","II","III","IV"},0))),ABS(MATCH(B48,{"I","II","III","IV"},0)-MATCH(C48,{"I","II","III","IV"},0)),""))</f>
        <v/>
      </c>
    </row>
    <row r="49" customFormat="false" ht="15" hidden="false" customHeight="true" outlineLevel="0" collapsed="false">
      <c r="A49" s="13" t="str">
        <f aca="false">IF(Protocolos!A49="","",Protocolos!A49)</f>
        <v/>
      </c>
      <c r="B49" s="14"/>
      <c r="C49" s="14"/>
      <c r="D49" s="13" t="str">
        <f aca="false">IF(OR(B49="",C49=""),"",IF(AND(ISNUMBER(MATCH(B49,{"I","II","III","IV"},0)),ISNUMBER(MATCH(C49,{"I","II","III","IV"},0))),IF(B49=C49,"Sí","No"),""))</f>
        <v/>
      </c>
      <c r="E49" s="13" t="str">
        <f aca="false">IF(OR(B49="",C49=""),"",IF(AND(ISNUMBER(MATCH(B49,{"I","II","III","IV"},0)),ISNUMBER(MATCH(C49,{"I","II","III","IV"},0))),ABS(MATCH(B49,{"I","II","III","IV"},0)-MATCH(C49,{"I","II","III","IV"},0)),""))</f>
        <v/>
      </c>
    </row>
    <row r="50" customFormat="false" ht="15" hidden="false" customHeight="true" outlineLevel="0" collapsed="false">
      <c r="A50" s="13" t="str">
        <f aca="false">IF(Protocolos!A50="","",Protocolos!A50)</f>
        <v/>
      </c>
      <c r="B50" s="14"/>
      <c r="C50" s="14"/>
      <c r="D50" s="13" t="str">
        <f aca="false">IF(OR(B50="",C50=""),"",IF(AND(ISNUMBER(MATCH(B50,{"I","II","III","IV"},0)),ISNUMBER(MATCH(C50,{"I","II","III","IV"},0))),IF(B50=C50,"Sí","No"),""))</f>
        <v/>
      </c>
      <c r="E50" s="13" t="str">
        <f aca="false">IF(OR(B50="",C50=""),"",IF(AND(ISNUMBER(MATCH(B50,{"I","II","III","IV"},0)),ISNUMBER(MATCH(C50,{"I","II","III","IV"},0))),ABS(MATCH(B50,{"I","II","III","IV"},0)-MATCH(C50,{"I","II","III","IV"},0)),""))</f>
        <v/>
      </c>
    </row>
    <row r="51" customFormat="false" ht="15" hidden="false" customHeight="true" outlineLevel="0" collapsed="false">
      <c r="A51" s="13" t="str">
        <f aca="false">IF(Protocolos!A51="","",Protocolos!A51)</f>
        <v/>
      </c>
      <c r="B51" s="14"/>
      <c r="C51" s="14"/>
      <c r="D51" s="13" t="str">
        <f aca="false">IF(OR(B51="",C51=""),"",IF(AND(ISNUMBER(MATCH(B51,{"I","II","III","IV"},0)),ISNUMBER(MATCH(C51,{"I","II","III","IV"},0))),IF(B51=C51,"Sí","No"),""))</f>
        <v/>
      </c>
      <c r="E51" s="13" t="str">
        <f aca="false">IF(OR(B51="",C51=""),"",IF(AND(ISNUMBER(MATCH(B51,{"I","II","III","IV"},0)),ISNUMBER(MATCH(C51,{"I","II","III","IV"},0))),ABS(MATCH(B51,{"I","II","III","IV"},0)-MATCH(C51,{"I","II","III","IV"},0)),""))</f>
        <v/>
      </c>
    </row>
    <row r="52" customFormat="false" ht="15" hidden="false" customHeight="true" outlineLevel="0" collapsed="false">
      <c r="A52" s="13" t="str">
        <f aca="false">IF(Protocolos!A52="","",Protocolos!A52)</f>
        <v/>
      </c>
      <c r="B52" s="14"/>
      <c r="C52" s="14"/>
      <c r="D52" s="13" t="str">
        <f aca="false">IF(OR(B52="",C52=""),"",IF(AND(ISNUMBER(MATCH(B52,{"I","II","III","IV"},0)),ISNUMBER(MATCH(C52,{"I","II","III","IV"},0))),IF(B52=C52,"Sí","No"),""))</f>
        <v/>
      </c>
      <c r="E52" s="13" t="str">
        <f aca="false">IF(OR(B52="",C52=""),"",IF(AND(ISNUMBER(MATCH(B52,{"I","II","III","IV"},0)),ISNUMBER(MATCH(C52,{"I","II","III","IV"},0))),ABS(MATCH(B52,{"I","II","III","IV"},0)-MATCH(C52,{"I","II","III","IV"},0)),""))</f>
        <v/>
      </c>
    </row>
    <row r="53" customFormat="false" ht="15" hidden="false" customHeight="true" outlineLevel="0" collapsed="false">
      <c r="A53" s="13" t="str">
        <f aca="false">IF(Protocolos!A53="","",Protocolos!A53)</f>
        <v/>
      </c>
      <c r="B53" s="14"/>
      <c r="C53" s="14"/>
      <c r="D53" s="13" t="str">
        <f aca="false">IF(OR(B53="",C53=""),"",IF(AND(ISNUMBER(MATCH(B53,{"I","II","III","IV"},0)),ISNUMBER(MATCH(C53,{"I","II","III","IV"},0))),IF(B53=C53,"Sí","No"),""))</f>
        <v/>
      </c>
      <c r="E53" s="13" t="str">
        <f aca="false">IF(OR(B53="",C53=""),"",IF(AND(ISNUMBER(MATCH(B53,{"I","II","III","IV"},0)),ISNUMBER(MATCH(C53,{"I","II","III","IV"},0))),ABS(MATCH(B53,{"I","II","III","IV"},0)-MATCH(C53,{"I","II","III","IV"},0)),""))</f>
        <v/>
      </c>
    </row>
  </sheetData>
  <mergeCells count="5">
    <mergeCell ref="A1:E1"/>
    <mergeCell ref="A2:E2"/>
    <mergeCell ref="G3:H3"/>
    <mergeCell ref="G12:H12"/>
    <mergeCell ref="G14:H14"/>
  </mergeCells>
  <dataValidations count="1">
    <dataValidation allowBlank="true" error="Use I, II, III, IV o NO EVALUABLE." errorStyle="stop" errorTitle="Valor inválido" operator="between" showDropDown="false" showErrorMessage="true" showInputMessage="false" sqref="B4:C53" type="list">
      <formula1>"I,II,III,IV,NO EVALUABLE"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8" min="2" style="1" width="9"/>
    <col collapsed="false" customWidth="true" hidden="false" outlineLevel="0" max="10" min="9" style="1" width="11"/>
    <col collapsed="false" customWidth="true" hidden="false" outlineLevel="0" max="11" min="11" style="1" width="14"/>
    <col collapsed="false" customWidth="true" hidden="false" outlineLevel="0" max="12" min="12" style="1" width="12"/>
    <col collapsed="false" customWidth="true" hidden="false" outlineLevel="0" max="13" min="13" style="1" width="9"/>
    <col collapsed="false" customWidth="true" hidden="false" outlineLevel="0" max="15" min="14" style="1" width="17"/>
    <col collapsed="false" customWidth="true" hidden="false" outlineLevel="0" max="16" min="16" style="1" width="38"/>
    <col collapsed="false" customWidth="true" hidden="false" outlineLevel="0" max="18" min="17" style="1" width="10"/>
  </cols>
  <sheetData>
    <row r="1" customFormat="false" ht="27.75" hidden="false" customHeight="true" outlineLevel="0" collapsed="false">
      <c r="A1" s="6" t="s">
        <v>43</v>
      </c>
      <c r="B1" s="6"/>
      <c r="C1" s="6"/>
      <c r="D1" s="6"/>
      <c r="E1" s="6"/>
      <c r="F1" s="6"/>
      <c r="G1" s="6"/>
      <c r="H1" s="6"/>
      <c r="I1" s="6"/>
      <c r="J1" s="6"/>
      <c r="K1" s="6"/>
      <c r="L1" s="6"/>
      <c r="M1" s="6"/>
      <c r="N1" s="6"/>
      <c r="S1" s="1"/>
      <c r="T1" s="1"/>
    </row>
    <row r="2" customFormat="false" ht="78" hidden="false" customHeight="true" outlineLevel="0" collapsed="false">
      <c r="A2" s="24" t="s">
        <v>44</v>
      </c>
      <c r="B2" s="24"/>
      <c r="C2" s="24"/>
      <c r="D2" s="24"/>
      <c r="E2" s="24"/>
      <c r="F2" s="24"/>
      <c r="G2" s="24"/>
      <c r="H2" s="24"/>
      <c r="I2" s="24"/>
      <c r="J2" s="24"/>
      <c r="K2" s="24"/>
      <c r="L2" s="24"/>
      <c r="M2" s="24"/>
      <c r="N2" s="24"/>
      <c r="S2" s="1"/>
      <c r="T2" s="1"/>
    </row>
    <row r="3" customFormat="false" ht="31.5" hidden="false" customHeight="true" outlineLevel="0" collapsed="false">
      <c r="A3" s="25" t="s">
        <v>19</v>
      </c>
      <c r="B3" s="25" t="s">
        <v>45</v>
      </c>
      <c r="C3" s="25" t="s">
        <v>46</v>
      </c>
      <c r="D3" s="25" t="s">
        <v>47</v>
      </c>
      <c r="E3" s="25" t="s">
        <v>48</v>
      </c>
      <c r="F3" s="25" t="s">
        <v>49</v>
      </c>
      <c r="G3" s="25" t="s">
        <v>50</v>
      </c>
      <c r="H3" s="25" t="s">
        <v>51</v>
      </c>
      <c r="I3" s="25" t="s">
        <v>52</v>
      </c>
      <c r="J3" s="25" t="s">
        <v>53</v>
      </c>
      <c r="K3" s="25" t="s">
        <v>54</v>
      </c>
      <c r="L3" s="25" t="s">
        <v>55</v>
      </c>
      <c r="M3" s="25" t="s">
        <v>56</v>
      </c>
      <c r="N3" s="25" t="s">
        <v>57</v>
      </c>
      <c r="P3" s="25" t="s">
        <v>58</v>
      </c>
      <c r="Q3" s="25"/>
      <c r="R3" s="25"/>
      <c r="S3" s="1"/>
      <c r="T3" s="1"/>
    </row>
    <row r="4" customFormat="false" ht="15" hidden="false" customHeight="true" outlineLevel="0" collapsed="false">
      <c r="A4" s="26" t="str">
        <f aca="false">IF(Protocolos!A4="","",Protocolos!A4)</f>
        <v/>
      </c>
      <c r="B4" s="27"/>
      <c r="C4" s="27"/>
      <c r="D4" s="27"/>
      <c r="E4" s="27"/>
      <c r="F4" s="27"/>
      <c r="G4" s="27"/>
      <c r="H4" s="27"/>
      <c r="I4" s="27"/>
      <c r="J4" s="27"/>
      <c r="K4" s="27"/>
      <c r="L4" s="27"/>
      <c r="M4" s="26" t="str">
        <f aca="false">IF(L4="Sí","",IF(COUNT(B4:I4)=0,"",MAX(0,SUM(B4:I4))))</f>
        <v/>
      </c>
      <c r="N4" s="26" t="str">
        <f aca="false">IF(L4="Sí","NO EVALUABLE",IF(M4="","",IF(K4="Sí","IV",IF(J4="Sí",IF(M4&lt;=64,"I",IF(M4&lt;=141,"II",IF(M4&lt;=230,"III","IV"))),IF(M4&lt;=58,"I",IF(M4&lt;=127,"II",IF(M4&lt;=208,"III","IV")))))))</f>
        <v/>
      </c>
      <c r="O4" s="28"/>
      <c r="P4" s="25" t="s">
        <v>57</v>
      </c>
      <c r="Q4" s="25" t="s">
        <v>59</v>
      </c>
      <c r="R4" s="25" t="s">
        <v>60</v>
      </c>
      <c r="S4" s="1"/>
      <c r="T4" s="1"/>
    </row>
    <row r="5" customFormat="false" ht="15" hidden="false" customHeight="true" outlineLevel="0" collapsed="false">
      <c r="A5" s="26" t="str">
        <f aca="false">IF(Protocolos!A5="","",Protocolos!A5)</f>
        <v/>
      </c>
      <c r="B5" s="27"/>
      <c r="C5" s="27"/>
      <c r="D5" s="27"/>
      <c r="E5" s="27"/>
      <c r="F5" s="27"/>
      <c r="G5" s="27"/>
      <c r="H5" s="27"/>
      <c r="I5" s="27"/>
      <c r="J5" s="27"/>
      <c r="K5" s="27"/>
      <c r="L5" s="27"/>
      <c r="M5" s="26" t="str">
        <f aca="false">IF(L5="Sí","",IF(COUNT(B5:I5)=0,"",MAX(0,SUM(B5:I5))))</f>
        <v/>
      </c>
      <c r="N5" s="26" t="str">
        <f aca="false">IF(L5="Sí","NO EVALUABLE",IF(M5="","",IF(K5="Sí","IV",IF(J5="Sí",IF(M5&lt;=64,"I",IF(M5&lt;=141,"II",IF(M5&lt;=230,"III","IV"))),IF(M5&lt;=58,"I",IF(M5&lt;=127,"II",IF(M5&lt;=208,"III","IV")))))))</f>
        <v/>
      </c>
      <c r="O5" s="29"/>
      <c r="P5" s="30" t="s">
        <v>61</v>
      </c>
      <c r="Q5" s="26" t="n">
        <f aca="false">COUNTIF(N4:N53,"I")</f>
        <v>0</v>
      </c>
      <c r="R5" s="31" t="str">
        <f aca="false">IF(SUM(Q5:Q8)=0,"",Q5/SUM(Q5:Q8))</f>
        <v/>
      </c>
      <c r="S5" s="1"/>
      <c r="T5" s="1"/>
    </row>
    <row r="6" customFormat="false" ht="15" hidden="false" customHeight="true" outlineLevel="0" collapsed="false">
      <c r="A6" s="26" t="str">
        <f aca="false">IF(Protocolos!A6="","",Protocolos!A6)</f>
        <v/>
      </c>
      <c r="B6" s="27"/>
      <c r="C6" s="27"/>
      <c r="D6" s="27"/>
      <c r="E6" s="27"/>
      <c r="F6" s="27"/>
      <c r="G6" s="27"/>
      <c r="H6" s="27"/>
      <c r="I6" s="27"/>
      <c r="J6" s="27"/>
      <c r="K6" s="27"/>
      <c r="L6" s="27"/>
      <c r="M6" s="26" t="str">
        <f aca="false">IF(L6="Sí","",IF(COUNT(B6:I6)=0,"",MAX(0,SUM(B6:I6))))</f>
        <v/>
      </c>
      <c r="N6" s="26" t="str">
        <f aca="false">IF(L6="Sí","NO EVALUABLE",IF(M6="","",IF(K6="Sí","IV",IF(J6="Sí",IF(M6&lt;=64,"I",IF(M6&lt;=141,"II",IF(M6&lt;=230,"III","IV"))),IF(M6&lt;=58,"I",IF(M6&lt;=127,"II",IF(M6&lt;=208,"III","IV")))))))</f>
        <v/>
      </c>
      <c r="O6" s="29"/>
      <c r="P6" s="30" t="s">
        <v>62</v>
      </c>
      <c r="Q6" s="26" t="n">
        <f aca="false">COUNTIF(N4:N53,"II")</f>
        <v>0</v>
      </c>
      <c r="R6" s="31" t="str">
        <f aca="false">IF(SUM(Q5:Q8)=0,"",Q6/SUM(Q5:Q8))</f>
        <v/>
      </c>
      <c r="S6" s="1"/>
      <c r="T6" s="1"/>
    </row>
    <row r="7" customFormat="false" ht="15" hidden="false" customHeight="true" outlineLevel="0" collapsed="false">
      <c r="A7" s="26" t="str">
        <f aca="false">IF(Protocolos!A7="","",Protocolos!A7)</f>
        <v/>
      </c>
      <c r="B7" s="27"/>
      <c r="C7" s="27"/>
      <c r="D7" s="27"/>
      <c r="E7" s="27"/>
      <c r="F7" s="27"/>
      <c r="G7" s="27"/>
      <c r="H7" s="27"/>
      <c r="I7" s="27"/>
      <c r="J7" s="27"/>
      <c r="K7" s="27"/>
      <c r="L7" s="27"/>
      <c r="M7" s="26" t="str">
        <f aca="false">IF(L7="Sí","",IF(COUNT(B7:I7)=0,"",MAX(0,SUM(B7:I7))))</f>
        <v/>
      </c>
      <c r="N7" s="26" t="str">
        <f aca="false">IF(L7="Sí","NO EVALUABLE",IF(M7="","",IF(K7="Sí","IV",IF(J7="Sí",IF(M7&lt;=64,"I",IF(M7&lt;=141,"II",IF(M7&lt;=230,"III","IV"))),IF(M7&lt;=58,"I",IF(M7&lt;=127,"II",IF(M7&lt;=208,"III","IV")))))))</f>
        <v/>
      </c>
      <c r="O7" s="29"/>
      <c r="P7" s="30" t="s">
        <v>63</v>
      </c>
      <c r="Q7" s="26" t="n">
        <f aca="false">COUNTIF(N4:N53,"III")</f>
        <v>0</v>
      </c>
      <c r="R7" s="31" t="str">
        <f aca="false">IF(SUM(Q5:Q8)=0,"",Q7/SUM(Q5:Q8))</f>
        <v/>
      </c>
      <c r="S7" s="1"/>
      <c r="T7" s="1"/>
    </row>
    <row r="8" customFormat="false" ht="15" hidden="false" customHeight="true" outlineLevel="0" collapsed="false">
      <c r="A8" s="26" t="str">
        <f aca="false">IF(Protocolos!A8="","",Protocolos!A8)</f>
        <v/>
      </c>
      <c r="B8" s="27"/>
      <c r="C8" s="27"/>
      <c r="D8" s="27"/>
      <c r="E8" s="27"/>
      <c r="F8" s="27"/>
      <c r="G8" s="27"/>
      <c r="H8" s="27"/>
      <c r="I8" s="27"/>
      <c r="J8" s="27"/>
      <c r="K8" s="27"/>
      <c r="L8" s="27"/>
      <c r="M8" s="26" t="str">
        <f aca="false">IF(L8="Sí","",IF(COUNT(B8:I8)=0,"",MAX(0,SUM(B8:I8))))</f>
        <v/>
      </c>
      <c r="N8" s="26" t="str">
        <f aca="false">IF(L8="Sí","NO EVALUABLE",IF(M8="","",IF(K8="Sí","IV",IF(J8="Sí",IF(M8&lt;=64,"I",IF(M8&lt;=141,"II",IF(M8&lt;=230,"III","IV"))),IF(M8&lt;=58,"I",IF(M8&lt;=127,"II",IF(M8&lt;=208,"III","IV")))))))</f>
        <v/>
      </c>
      <c r="O8" s="29"/>
      <c r="P8" s="30" t="s">
        <v>64</v>
      </c>
      <c r="Q8" s="26" t="n">
        <f aca="false">COUNTIF(N4:N53,"IV")</f>
        <v>0</v>
      </c>
      <c r="R8" s="31" t="str">
        <f aca="false">IF(SUM(Q5:Q8)=0,"",Q8/SUM(Q5:Q8))</f>
        <v/>
      </c>
      <c r="S8" s="1"/>
      <c r="T8" s="1"/>
    </row>
    <row r="9" customFormat="false" ht="15" hidden="false" customHeight="true" outlineLevel="0" collapsed="false">
      <c r="A9" s="26" t="str">
        <f aca="false">IF(Protocolos!A9="","",Protocolos!A9)</f>
        <v/>
      </c>
      <c r="B9" s="27"/>
      <c r="C9" s="27"/>
      <c r="D9" s="27"/>
      <c r="E9" s="27"/>
      <c r="F9" s="27"/>
      <c r="G9" s="27"/>
      <c r="H9" s="27"/>
      <c r="I9" s="27"/>
      <c r="J9" s="27"/>
      <c r="K9" s="27"/>
      <c r="L9" s="27"/>
      <c r="M9" s="26" t="str">
        <f aca="false">IF(L9="Sí","",IF(COUNT(B9:I9)=0,"",MAX(0,SUM(B9:I9))))</f>
        <v/>
      </c>
      <c r="N9" s="26" t="str">
        <f aca="false">IF(L9="Sí","NO EVALUABLE",IF(M9="","",IF(K9="Sí","IV",IF(J9="Sí",IF(M9&lt;=64,"I",IF(M9&lt;=141,"II",IF(M9&lt;=230,"III","IV"))),IF(M9&lt;=58,"I",IF(M9&lt;=127,"II",IF(M9&lt;=208,"III","IV")))))))</f>
        <v/>
      </c>
      <c r="P9" s="32" t="s">
        <v>65</v>
      </c>
      <c r="Q9" s="26" t="n">
        <f aca="false">SUM(Q5:Q8)</f>
        <v>0</v>
      </c>
      <c r="S9" s="1"/>
      <c r="T9" s="1"/>
    </row>
    <row r="10" customFormat="false" ht="15" hidden="false" customHeight="true" outlineLevel="0" collapsed="false">
      <c r="A10" s="26" t="str">
        <f aca="false">IF(Protocolos!A10="","",Protocolos!A10)</f>
        <v/>
      </c>
      <c r="B10" s="27"/>
      <c r="C10" s="27"/>
      <c r="D10" s="27"/>
      <c r="E10" s="27"/>
      <c r="F10" s="27"/>
      <c r="G10" s="27"/>
      <c r="H10" s="27"/>
      <c r="I10" s="27"/>
      <c r="J10" s="27"/>
      <c r="K10" s="27"/>
      <c r="L10" s="27"/>
      <c r="M10" s="26" t="str">
        <f aca="false">IF(L10="Sí","",IF(COUNT(B10:I10)=0,"",MAX(0,SUM(B10:I10))))</f>
        <v/>
      </c>
      <c r="N10" s="26" t="str">
        <f aca="false">IF(L10="Sí","NO EVALUABLE",IF(M10="","",IF(K10="Sí","IV",IF(J10="Sí",IF(M10&lt;=64,"I",IF(M10&lt;=141,"II",IF(M10&lt;=230,"III","IV"))),IF(M10&lt;=58,"I",IF(M10&lt;=127,"II",IF(M10&lt;=208,"III","IV")))))))</f>
        <v/>
      </c>
      <c r="P10" s="33" t="s">
        <v>66</v>
      </c>
      <c r="Q10" s="26" t="n">
        <f aca="false">COUNTIF(N4:N53,"NO EVALUABLE")</f>
        <v>0</v>
      </c>
      <c r="S10" s="1"/>
      <c r="T10" s="1"/>
    </row>
    <row r="11" customFormat="false" ht="15" hidden="false" customHeight="true" outlineLevel="0" collapsed="false">
      <c r="A11" s="26" t="str">
        <f aca="false">IF(Protocolos!A11="","",Protocolos!A11)</f>
        <v/>
      </c>
      <c r="B11" s="27"/>
      <c r="C11" s="27"/>
      <c r="D11" s="27"/>
      <c r="E11" s="27"/>
      <c r="F11" s="27"/>
      <c r="G11" s="27"/>
      <c r="H11" s="27"/>
      <c r="I11" s="27"/>
      <c r="J11" s="27"/>
      <c r="K11" s="27"/>
      <c r="L11" s="27"/>
      <c r="M11" s="26" t="str">
        <f aca="false">IF(L11="Sí","",IF(COUNT(B11:I11)=0,"",MAX(0,SUM(B11:I11))))</f>
        <v/>
      </c>
      <c r="N11" s="26" t="str">
        <f aca="false">IF(L11="Sí","NO EVALUABLE",IF(M11="","",IF(K11="Sí","IV",IF(J11="Sí",IF(M11&lt;=64,"I",IF(M11&lt;=141,"II",IF(M11&lt;=230,"III","IV"))),IF(M11&lt;=58,"I",IF(M11&lt;=127,"II",IF(M11&lt;=208,"III","IV")))))))</f>
        <v/>
      </c>
      <c r="P11" s="33" t="s">
        <v>67</v>
      </c>
      <c r="Q11" s="26" t="n">
        <f aca="false">COUNTIFS(K4:K53,"Sí",N4:N53,"IV")</f>
        <v>0</v>
      </c>
      <c r="S11" s="1"/>
      <c r="T11" s="1"/>
    </row>
    <row r="12" customFormat="false" ht="15" hidden="false" customHeight="true" outlineLevel="0" collapsed="false">
      <c r="A12" s="26" t="str">
        <f aca="false">IF(Protocolos!A12="","",Protocolos!A12)</f>
        <v/>
      </c>
      <c r="B12" s="27"/>
      <c r="C12" s="27"/>
      <c r="D12" s="27"/>
      <c r="E12" s="27"/>
      <c r="F12" s="27"/>
      <c r="G12" s="27"/>
      <c r="H12" s="27"/>
      <c r="I12" s="27"/>
      <c r="J12" s="27"/>
      <c r="K12" s="27"/>
      <c r="L12" s="27"/>
      <c r="M12" s="26" t="str">
        <f aca="false">IF(L12="Sí","",IF(COUNT(B12:I12)=0,"",MAX(0,SUM(B12:I12))))</f>
        <v/>
      </c>
      <c r="N12" s="26" t="str">
        <f aca="false">IF(L12="Sí","NO EVALUABLE",IF(M12="","",IF(K12="Sí","IV",IF(J12="Sí",IF(M12&lt;=64,"I",IF(M12&lt;=141,"II",IF(M12&lt;=230,"III","IV"))),IF(M12&lt;=58,"I",IF(M12&lt;=127,"II",IF(M12&lt;=208,"III","IV")))))))</f>
        <v/>
      </c>
      <c r="S12" s="1"/>
      <c r="T12" s="1"/>
    </row>
    <row r="13" customFormat="false" ht="15" hidden="false" customHeight="true" outlineLevel="0" collapsed="false">
      <c r="A13" s="26" t="str">
        <f aca="false">IF(Protocolos!A13="","",Protocolos!A13)</f>
        <v/>
      </c>
      <c r="B13" s="27"/>
      <c r="C13" s="27"/>
      <c r="D13" s="27"/>
      <c r="E13" s="27"/>
      <c r="F13" s="27"/>
      <c r="G13" s="27"/>
      <c r="H13" s="27"/>
      <c r="I13" s="27"/>
      <c r="J13" s="27"/>
      <c r="K13" s="27"/>
      <c r="L13" s="27"/>
      <c r="M13" s="26" t="str">
        <f aca="false">IF(L13="Sí","",IF(COUNT(B13:I13)=0,"",MAX(0,SUM(B13:I13))))</f>
        <v/>
      </c>
      <c r="N13" s="26" t="str">
        <f aca="false">IF(L13="Sí","NO EVALUABLE",IF(M13="","",IF(K13="Sí","IV",IF(J13="Sí",IF(M13&lt;=64,"I",IF(M13&lt;=141,"II",IF(M13&lt;=230,"III","IV"))),IF(M13&lt;=58,"I",IF(M13&lt;=127,"II",IF(M13&lt;=208,"III","IV")))))))</f>
        <v/>
      </c>
      <c r="P13" s="25" t="s">
        <v>68</v>
      </c>
      <c r="Q13" s="25"/>
      <c r="R13" s="25"/>
      <c r="S13" s="1"/>
      <c r="T13" s="1"/>
    </row>
    <row r="14" customFormat="false" ht="15" hidden="false" customHeight="true" outlineLevel="0" collapsed="false">
      <c r="A14" s="26" t="str">
        <f aca="false">IF(Protocolos!A14="","",Protocolos!A14)</f>
        <v/>
      </c>
      <c r="B14" s="27"/>
      <c r="C14" s="27"/>
      <c r="D14" s="27"/>
      <c r="E14" s="27"/>
      <c r="F14" s="27"/>
      <c r="G14" s="27"/>
      <c r="H14" s="27"/>
      <c r="I14" s="27"/>
      <c r="J14" s="27"/>
      <c r="K14" s="27"/>
      <c r="L14" s="27"/>
      <c r="M14" s="26" t="str">
        <f aca="false">IF(L14="Sí","",IF(COUNT(B14:I14)=0,"",MAX(0,SUM(B14:I14))))</f>
        <v/>
      </c>
      <c r="N14" s="26" t="str">
        <f aca="false">IF(L14="Sí","NO EVALUABLE",IF(M14="","",IF(K14="Sí","IV",IF(J14="Sí",IF(M14&lt;=64,"I",IF(M14&lt;=141,"II",IF(M14&lt;=230,"III","IV"))),IF(M14&lt;=58,"I",IF(M14&lt;=127,"II",IF(M14&lt;=208,"III","IV")))))))</f>
        <v/>
      </c>
      <c r="P14" s="33" t="s">
        <v>69</v>
      </c>
      <c r="Q14" s="34" t="str">
        <f aca="false">IFERROR(MEDIAN(M4:M53),"")</f>
        <v/>
      </c>
      <c r="S14" s="1"/>
      <c r="T14" s="1"/>
    </row>
    <row r="15" customFormat="false" ht="15" hidden="false" customHeight="true" outlineLevel="0" collapsed="false">
      <c r="A15" s="26" t="str">
        <f aca="false">IF(Protocolos!A15="","",Protocolos!A15)</f>
        <v/>
      </c>
      <c r="B15" s="27"/>
      <c r="C15" s="27"/>
      <c r="D15" s="27"/>
      <c r="E15" s="27"/>
      <c r="F15" s="27"/>
      <c r="G15" s="27"/>
      <c r="H15" s="27"/>
      <c r="I15" s="27"/>
      <c r="J15" s="27"/>
      <c r="K15" s="27"/>
      <c r="L15" s="27"/>
      <c r="M15" s="26" t="str">
        <f aca="false">IF(L15="Sí","",IF(COUNT(B15:I15)=0,"",MAX(0,SUM(B15:I15))))</f>
        <v/>
      </c>
      <c r="N15" s="26" t="str">
        <f aca="false">IF(L15="Sí","NO EVALUABLE",IF(M15="","",IF(K15="Sí","IV",IF(J15="Sí",IF(M15&lt;=64,"I",IF(M15&lt;=141,"II",IF(M15&lt;=230,"III","IV"))),IF(M15&lt;=58,"I",IF(M15&lt;=127,"II",IF(M15&lt;=208,"III","IV")))))))</f>
        <v/>
      </c>
      <c r="P15" s="33" t="s">
        <v>70</v>
      </c>
      <c r="Q15" s="34" t="str">
        <f aca="false">IFERROR(AVERAGE(M4:M53),"")</f>
        <v/>
      </c>
      <c r="S15" s="1"/>
      <c r="T15" s="1"/>
    </row>
    <row r="16" customFormat="false" ht="15" hidden="false" customHeight="true" outlineLevel="0" collapsed="false">
      <c r="A16" s="26" t="str">
        <f aca="false">IF(Protocolos!A16="","",Protocolos!A16)</f>
        <v/>
      </c>
      <c r="B16" s="27"/>
      <c r="C16" s="27"/>
      <c r="D16" s="27"/>
      <c r="E16" s="27"/>
      <c r="F16" s="27"/>
      <c r="G16" s="27"/>
      <c r="H16" s="27"/>
      <c r="I16" s="27"/>
      <c r="J16" s="27"/>
      <c r="K16" s="27"/>
      <c r="L16" s="27"/>
      <c r="M16" s="26" t="str">
        <f aca="false">IF(L16="Sí","",IF(COUNT(B16:I16)=0,"",MAX(0,SUM(B16:I16))))</f>
        <v/>
      </c>
      <c r="N16" s="26" t="str">
        <f aca="false">IF(L16="Sí","NO EVALUABLE",IF(M16="","",IF(K16="Sí","IV",IF(J16="Sí",IF(M16&lt;=64,"I",IF(M16&lt;=141,"II",IF(M16&lt;=230,"III","IV"))),IF(M16&lt;=58,"I",IF(M16&lt;=127,"II",IF(M16&lt;=208,"III","IV")))))))</f>
        <v/>
      </c>
      <c r="P16" s="33" t="s">
        <v>71</v>
      </c>
      <c r="Q16" s="34" t="str">
        <f aca="false">IFERROR(STDEV(M4:M53),"")</f>
        <v/>
      </c>
      <c r="S16" s="1"/>
      <c r="T16" s="1"/>
    </row>
    <row r="17" customFormat="false" ht="15" hidden="false" customHeight="true" outlineLevel="0" collapsed="false">
      <c r="A17" s="26" t="str">
        <f aca="false">IF(Protocolos!A17="","",Protocolos!A17)</f>
        <v/>
      </c>
      <c r="B17" s="27"/>
      <c r="C17" s="27"/>
      <c r="D17" s="27"/>
      <c r="E17" s="27"/>
      <c r="F17" s="27"/>
      <c r="G17" s="27"/>
      <c r="H17" s="27"/>
      <c r="I17" s="27"/>
      <c r="J17" s="27"/>
      <c r="K17" s="27"/>
      <c r="L17" s="27"/>
      <c r="M17" s="26" t="str">
        <f aca="false">IF(L17="Sí","",IF(COUNT(B17:I17)=0,"",MAX(0,SUM(B17:I17))))</f>
        <v/>
      </c>
      <c r="N17" s="26" t="str">
        <f aca="false">IF(L17="Sí","NO EVALUABLE",IF(M17="","",IF(K17="Sí","IV",IF(J17="Sí",IF(M17&lt;=64,"I",IF(M17&lt;=141,"II",IF(M17&lt;=230,"III","IV"))),IF(M17&lt;=58,"I",IF(M17&lt;=127,"II",IF(M17&lt;=208,"III","IV")))))))</f>
        <v/>
      </c>
      <c r="P17" s="33" t="s">
        <v>72</v>
      </c>
      <c r="Q17" s="34" t="n">
        <f aca="false">IFERROR(MIN(M4:M53),"")</f>
        <v>0</v>
      </c>
      <c r="S17" s="1"/>
      <c r="T17" s="1"/>
    </row>
    <row r="18" customFormat="false" ht="15" hidden="false" customHeight="true" outlineLevel="0" collapsed="false">
      <c r="A18" s="26" t="str">
        <f aca="false">IF(Protocolos!A18="","",Protocolos!A18)</f>
        <v/>
      </c>
      <c r="B18" s="27"/>
      <c r="C18" s="27"/>
      <c r="D18" s="27"/>
      <c r="E18" s="27"/>
      <c r="F18" s="27"/>
      <c r="G18" s="27"/>
      <c r="H18" s="27"/>
      <c r="I18" s="27"/>
      <c r="J18" s="27"/>
      <c r="K18" s="27"/>
      <c r="L18" s="27"/>
      <c r="M18" s="26" t="str">
        <f aca="false">IF(L18="Sí","",IF(COUNT(B18:I18)=0,"",MAX(0,SUM(B18:I18))))</f>
        <v/>
      </c>
      <c r="N18" s="26" t="str">
        <f aca="false">IF(L18="Sí","NO EVALUABLE",IF(M18="","",IF(K18="Sí","IV",IF(J18="Sí",IF(M18&lt;=64,"I",IF(M18&lt;=141,"II",IF(M18&lt;=230,"III","IV"))),IF(M18&lt;=58,"I",IF(M18&lt;=127,"II",IF(M18&lt;=208,"III","IV")))))))</f>
        <v/>
      </c>
      <c r="P18" s="33" t="s">
        <v>73</v>
      </c>
      <c r="Q18" s="34" t="n">
        <f aca="false">IFERROR(MAX(M4:M53),"")</f>
        <v>0</v>
      </c>
      <c r="S18" s="1"/>
      <c r="T18" s="1"/>
    </row>
    <row r="19" customFormat="false" ht="15" hidden="false" customHeight="true" outlineLevel="0" collapsed="false">
      <c r="A19" s="26" t="str">
        <f aca="false">IF(Protocolos!A19="","",Protocolos!A19)</f>
        <v/>
      </c>
      <c r="B19" s="27"/>
      <c r="C19" s="27"/>
      <c r="D19" s="27"/>
      <c r="E19" s="27"/>
      <c r="F19" s="27"/>
      <c r="G19" s="27"/>
      <c r="H19" s="27"/>
      <c r="I19" s="27"/>
      <c r="J19" s="27"/>
      <c r="K19" s="27"/>
      <c r="L19" s="27"/>
      <c r="M19" s="26" t="str">
        <f aca="false">IF(L19="Sí","",IF(COUNT(B19:I19)=0,"",MAX(0,SUM(B19:I19))))</f>
        <v/>
      </c>
      <c r="N19" s="26" t="str">
        <f aca="false">IF(L19="Sí","NO EVALUABLE",IF(M19="","",IF(K19="Sí","IV",IF(J19="Sí",IF(M19&lt;=64,"I",IF(M19&lt;=141,"II",IF(M19&lt;=230,"III","IV"))),IF(M19&lt;=58,"I",IF(M19&lt;=127,"II",IF(M19&lt;=208,"III","IV")))))))</f>
        <v/>
      </c>
      <c r="S19" s="1"/>
      <c r="T19" s="1"/>
    </row>
    <row r="20" customFormat="false" ht="15" hidden="false" customHeight="true" outlineLevel="0" collapsed="false">
      <c r="A20" s="26" t="str">
        <f aca="false">IF(Protocolos!A20="","",Protocolos!A20)</f>
        <v/>
      </c>
      <c r="B20" s="27"/>
      <c r="C20" s="27"/>
      <c r="D20" s="27"/>
      <c r="E20" s="27"/>
      <c r="F20" s="27"/>
      <c r="G20" s="27"/>
      <c r="H20" s="27"/>
      <c r="I20" s="27"/>
      <c r="J20" s="27"/>
      <c r="K20" s="27"/>
      <c r="L20" s="27"/>
      <c r="M20" s="26" t="str">
        <f aca="false">IF(L20="Sí","",IF(COUNT(B20:I20)=0,"",MAX(0,SUM(B20:I20))))</f>
        <v/>
      </c>
      <c r="N20" s="26" t="str">
        <f aca="false">IF(L20="Sí","NO EVALUABLE",IF(M20="","",IF(K20="Sí","IV",IF(J20="Sí",IF(M20&lt;=64,"I",IF(M20&lt;=141,"II",IF(M20&lt;=230,"III","IV"))),IF(M20&lt;=58,"I",IF(M20&lt;=127,"II",IF(M20&lt;=208,"III","IV")))))))</f>
        <v/>
      </c>
      <c r="S20" s="1"/>
      <c r="T20" s="1"/>
    </row>
    <row r="21" customFormat="false" ht="15" hidden="false" customHeight="true" outlineLevel="0" collapsed="false">
      <c r="A21" s="26" t="str">
        <f aca="false">IF(Protocolos!A21="","",Protocolos!A21)</f>
        <v/>
      </c>
      <c r="B21" s="27"/>
      <c r="C21" s="27"/>
      <c r="D21" s="27"/>
      <c r="E21" s="27"/>
      <c r="F21" s="27"/>
      <c r="G21" s="27"/>
      <c r="H21" s="27"/>
      <c r="I21" s="27"/>
      <c r="J21" s="27"/>
      <c r="K21" s="27"/>
      <c r="L21" s="27"/>
      <c r="M21" s="26" t="str">
        <f aca="false">IF(L21="Sí","",IF(COUNT(B21:I21)=0,"",MAX(0,SUM(B21:I21))))</f>
        <v/>
      </c>
      <c r="N21" s="26" t="str">
        <f aca="false">IF(L21="Sí","NO EVALUABLE",IF(M21="","",IF(K21="Sí","IV",IF(J21="Sí",IF(M21&lt;=64,"I",IF(M21&lt;=141,"II",IF(M21&lt;=230,"III","IV"))),IF(M21&lt;=58,"I",IF(M21&lt;=127,"II",IF(M21&lt;=208,"III","IV")))))))</f>
        <v/>
      </c>
      <c r="S21" s="1"/>
      <c r="T21" s="1"/>
    </row>
    <row r="22" customFormat="false" ht="15" hidden="false" customHeight="true" outlineLevel="0" collapsed="false">
      <c r="A22" s="26" t="str">
        <f aca="false">IF(Protocolos!A22="","",Protocolos!A22)</f>
        <v/>
      </c>
      <c r="B22" s="27"/>
      <c r="C22" s="27"/>
      <c r="D22" s="27"/>
      <c r="E22" s="27"/>
      <c r="F22" s="27"/>
      <c r="G22" s="27"/>
      <c r="H22" s="27"/>
      <c r="I22" s="27"/>
      <c r="J22" s="27"/>
      <c r="K22" s="27"/>
      <c r="L22" s="27"/>
      <c r="M22" s="26" t="str">
        <f aca="false">IF(L22="Sí","",IF(COUNT(B22:I22)=0,"",MAX(0,SUM(B22:I22))))</f>
        <v/>
      </c>
      <c r="N22" s="26" t="str">
        <f aca="false">IF(L22="Sí","NO EVALUABLE",IF(M22="","",IF(K22="Sí","IV",IF(J22="Sí",IF(M22&lt;=64,"I",IF(M22&lt;=141,"II",IF(M22&lt;=230,"III","IV"))),IF(M22&lt;=58,"I",IF(M22&lt;=127,"II",IF(M22&lt;=208,"III","IV")))))))</f>
        <v/>
      </c>
      <c r="S22" s="1"/>
      <c r="T22" s="1"/>
    </row>
    <row r="23" customFormat="false" ht="15" hidden="false" customHeight="true" outlineLevel="0" collapsed="false">
      <c r="A23" s="26" t="str">
        <f aca="false">IF(Protocolos!A23="","",Protocolos!A23)</f>
        <v/>
      </c>
      <c r="B23" s="27"/>
      <c r="C23" s="27"/>
      <c r="D23" s="27"/>
      <c r="E23" s="27"/>
      <c r="F23" s="27"/>
      <c r="G23" s="27"/>
      <c r="H23" s="27"/>
      <c r="I23" s="27"/>
      <c r="J23" s="27"/>
      <c r="K23" s="27"/>
      <c r="L23" s="27"/>
      <c r="M23" s="26" t="str">
        <f aca="false">IF(L23="Sí","",IF(COUNT(B23:I23)=0,"",MAX(0,SUM(B23:I23))))</f>
        <v/>
      </c>
      <c r="N23" s="26" t="str">
        <f aca="false">IF(L23="Sí","NO EVALUABLE",IF(M23="","",IF(K23="Sí","IV",IF(J23="Sí",IF(M23&lt;=64,"I",IF(M23&lt;=141,"II",IF(M23&lt;=230,"III","IV"))),IF(M23&lt;=58,"I",IF(M23&lt;=127,"II",IF(M23&lt;=208,"III","IV")))))))</f>
        <v/>
      </c>
      <c r="S23" s="1"/>
      <c r="T23" s="1"/>
    </row>
    <row r="24" customFormat="false" ht="15" hidden="false" customHeight="true" outlineLevel="0" collapsed="false">
      <c r="A24" s="26" t="str">
        <f aca="false">IF(Protocolos!A24="","",Protocolos!A24)</f>
        <v/>
      </c>
      <c r="B24" s="27"/>
      <c r="C24" s="27"/>
      <c r="D24" s="27"/>
      <c r="E24" s="27"/>
      <c r="F24" s="27"/>
      <c r="G24" s="27"/>
      <c r="H24" s="27"/>
      <c r="I24" s="27"/>
      <c r="J24" s="27"/>
      <c r="K24" s="27"/>
      <c r="L24" s="27"/>
      <c r="M24" s="26" t="str">
        <f aca="false">IF(L24="Sí","",IF(COUNT(B24:I24)=0,"",MAX(0,SUM(B24:I24))))</f>
        <v/>
      </c>
      <c r="N24" s="26" t="str">
        <f aca="false">IF(L24="Sí","NO EVALUABLE",IF(M24="","",IF(K24="Sí","IV",IF(J24="Sí",IF(M24&lt;=64,"I",IF(M24&lt;=141,"II",IF(M24&lt;=230,"III","IV"))),IF(M24&lt;=58,"I",IF(M24&lt;=127,"II",IF(M24&lt;=208,"III","IV")))))))</f>
        <v/>
      </c>
      <c r="S24" s="1"/>
      <c r="T24" s="1"/>
    </row>
    <row r="25" customFormat="false" ht="15" hidden="false" customHeight="true" outlineLevel="0" collapsed="false">
      <c r="A25" s="26" t="str">
        <f aca="false">IF(Protocolos!A25="","",Protocolos!A25)</f>
        <v/>
      </c>
      <c r="B25" s="27"/>
      <c r="C25" s="27"/>
      <c r="D25" s="27"/>
      <c r="E25" s="27"/>
      <c r="F25" s="27"/>
      <c r="G25" s="27"/>
      <c r="H25" s="27"/>
      <c r="I25" s="27"/>
      <c r="J25" s="27"/>
      <c r="K25" s="27"/>
      <c r="L25" s="27"/>
      <c r="M25" s="26" t="str">
        <f aca="false">IF(L25="Sí","",IF(COUNT(B25:I25)=0,"",MAX(0,SUM(B25:I25))))</f>
        <v/>
      </c>
      <c r="N25" s="26" t="str">
        <f aca="false">IF(L25="Sí","NO EVALUABLE",IF(M25="","",IF(K25="Sí","IV",IF(J25="Sí",IF(M25&lt;=64,"I",IF(M25&lt;=141,"II",IF(M25&lt;=230,"III","IV"))),IF(M25&lt;=58,"I",IF(M25&lt;=127,"II",IF(M25&lt;=208,"III","IV")))))))</f>
        <v/>
      </c>
      <c r="S25" s="1"/>
      <c r="T25" s="1"/>
    </row>
    <row r="26" customFormat="false" ht="15" hidden="false" customHeight="true" outlineLevel="0" collapsed="false">
      <c r="A26" s="26" t="str">
        <f aca="false">IF(Protocolos!A26="","",Protocolos!A26)</f>
        <v/>
      </c>
      <c r="B26" s="27"/>
      <c r="C26" s="27"/>
      <c r="D26" s="27"/>
      <c r="E26" s="27"/>
      <c r="F26" s="27"/>
      <c r="G26" s="27"/>
      <c r="H26" s="27"/>
      <c r="I26" s="27"/>
      <c r="J26" s="27"/>
      <c r="K26" s="27"/>
      <c r="L26" s="27"/>
      <c r="M26" s="26" t="str">
        <f aca="false">IF(L26="Sí","",IF(COUNT(B26:I26)=0,"",MAX(0,SUM(B26:I26))))</f>
        <v/>
      </c>
      <c r="N26" s="26" t="str">
        <f aca="false">IF(L26="Sí","NO EVALUABLE",IF(M26="","",IF(K26="Sí","IV",IF(J26="Sí",IF(M26&lt;=64,"I",IF(M26&lt;=141,"II",IF(M26&lt;=230,"III","IV"))),IF(M26&lt;=58,"I",IF(M26&lt;=127,"II",IF(M26&lt;=208,"III","IV")))))))</f>
        <v/>
      </c>
      <c r="S26" s="1"/>
      <c r="T26" s="1"/>
    </row>
    <row r="27" customFormat="false" ht="15" hidden="false" customHeight="true" outlineLevel="0" collapsed="false">
      <c r="A27" s="26" t="str">
        <f aca="false">IF(Protocolos!A27="","",Protocolos!A27)</f>
        <v/>
      </c>
      <c r="B27" s="27"/>
      <c r="C27" s="27"/>
      <c r="D27" s="27"/>
      <c r="E27" s="27"/>
      <c r="F27" s="27"/>
      <c r="G27" s="27"/>
      <c r="H27" s="27"/>
      <c r="I27" s="27"/>
      <c r="J27" s="27"/>
      <c r="K27" s="27"/>
      <c r="L27" s="27"/>
      <c r="M27" s="26" t="str">
        <f aca="false">IF(L27="Sí","",IF(COUNT(B27:I27)=0,"",MAX(0,SUM(B27:I27))))</f>
        <v/>
      </c>
      <c r="N27" s="26" t="str">
        <f aca="false">IF(L27="Sí","NO EVALUABLE",IF(M27="","",IF(K27="Sí","IV",IF(J27="Sí",IF(M27&lt;=64,"I",IF(M27&lt;=141,"II",IF(M27&lt;=230,"III","IV"))),IF(M27&lt;=58,"I",IF(M27&lt;=127,"II",IF(M27&lt;=208,"III","IV")))))))</f>
        <v/>
      </c>
      <c r="S27" s="1"/>
      <c r="T27" s="1"/>
    </row>
    <row r="28" customFormat="false" ht="15" hidden="false" customHeight="true" outlineLevel="0" collapsed="false">
      <c r="A28" s="26" t="str">
        <f aca="false">IF(Protocolos!A28="","",Protocolos!A28)</f>
        <v/>
      </c>
      <c r="B28" s="27"/>
      <c r="C28" s="27"/>
      <c r="D28" s="27"/>
      <c r="E28" s="27"/>
      <c r="F28" s="27"/>
      <c r="G28" s="27"/>
      <c r="H28" s="27"/>
      <c r="I28" s="27"/>
      <c r="J28" s="27"/>
      <c r="K28" s="27"/>
      <c r="L28" s="27"/>
      <c r="M28" s="26" t="str">
        <f aca="false">IF(L28="Sí","",IF(COUNT(B28:I28)=0,"",MAX(0,SUM(B28:I28))))</f>
        <v/>
      </c>
      <c r="N28" s="26" t="str">
        <f aca="false">IF(L28="Sí","NO EVALUABLE",IF(M28="","",IF(K28="Sí","IV",IF(J28="Sí",IF(M28&lt;=64,"I",IF(M28&lt;=141,"II",IF(M28&lt;=230,"III","IV"))),IF(M28&lt;=58,"I",IF(M28&lt;=127,"II",IF(M28&lt;=208,"III","IV")))))))</f>
        <v/>
      </c>
      <c r="S28" s="1"/>
      <c r="T28" s="1"/>
    </row>
    <row r="29" customFormat="false" ht="15" hidden="false" customHeight="true" outlineLevel="0" collapsed="false">
      <c r="A29" s="26" t="str">
        <f aca="false">IF(Protocolos!A29="","",Protocolos!A29)</f>
        <v/>
      </c>
      <c r="B29" s="27"/>
      <c r="C29" s="27"/>
      <c r="D29" s="27"/>
      <c r="E29" s="27"/>
      <c r="F29" s="27"/>
      <c r="G29" s="27"/>
      <c r="H29" s="27"/>
      <c r="I29" s="27"/>
      <c r="J29" s="27"/>
      <c r="K29" s="27"/>
      <c r="L29" s="27"/>
      <c r="M29" s="26" t="str">
        <f aca="false">IF(L29="Sí","",IF(COUNT(B29:I29)=0,"",MAX(0,SUM(B29:I29))))</f>
        <v/>
      </c>
      <c r="N29" s="26" t="str">
        <f aca="false">IF(L29="Sí","NO EVALUABLE",IF(M29="","",IF(K29="Sí","IV",IF(J29="Sí",IF(M29&lt;=64,"I",IF(M29&lt;=141,"II",IF(M29&lt;=230,"III","IV"))),IF(M29&lt;=58,"I",IF(M29&lt;=127,"II",IF(M29&lt;=208,"III","IV")))))))</f>
        <v/>
      </c>
      <c r="S29" s="1"/>
      <c r="T29" s="1"/>
    </row>
    <row r="30" customFormat="false" ht="15" hidden="false" customHeight="true" outlineLevel="0" collapsed="false">
      <c r="A30" s="26" t="str">
        <f aca="false">IF(Protocolos!A30="","",Protocolos!A30)</f>
        <v/>
      </c>
      <c r="B30" s="27"/>
      <c r="C30" s="27"/>
      <c r="D30" s="27"/>
      <c r="E30" s="27"/>
      <c r="F30" s="27"/>
      <c r="G30" s="27"/>
      <c r="H30" s="27"/>
      <c r="I30" s="27"/>
      <c r="J30" s="27"/>
      <c r="K30" s="27"/>
      <c r="L30" s="27"/>
      <c r="M30" s="26" t="str">
        <f aca="false">IF(L30="Sí","",IF(COUNT(B30:I30)=0,"",MAX(0,SUM(B30:I30))))</f>
        <v/>
      </c>
      <c r="N30" s="26" t="str">
        <f aca="false">IF(L30="Sí","NO EVALUABLE",IF(M30="","",IF(K30="Sí","IV",IF(J30="Sí",IF(M30&lt;=64,"I",IF(M30&lt;=141,"II",IF(M30&lt;=230,"III","IV"))),IF(M30&lt;=58,"I",IF(M30&lt;=127,"II",IF(M30&lt;=208,"III","IV")))))))</f>
        <v/>
      </c>
      <c r="S30" s="1"/>
      <c r="T30" s="1"/>
    </row>
    <row r="31" customFormat="false" ht="15" hidden="false" customHeight="true" outlineLevel="0" collapsed="false">
      <c r="A31" s="26" t="str">
        <f aca="false">IF(Protocolos!A31="","",Protocolos!A31)</f>
        <v/>
      </c>
      <c r="B31" s="27"/>
      <c r="C31" s="27"/>
      <c r="D31" s="27"/>
      <c r="E31" s="27"/>
      <c r="F31" s="27"/>
      <c r="G31" s="27"/>
      <c r="H31" s="27"/>
      <c r="I31" s="27"/>
      <c r="J31" s="27"/>
      <c r="K31" s="27"/>
      <c r="L31" s="27"/>
      <c r="M31" s="26" t="str">
        <f aca="false">IF(L31="Sí","",IF(COUNT(B31:I31)=0,"",MAX(0,SUM(B31:I31))))</f>
        <v/>
      </c>
      <c r="N31" s="26" t="str">
        <f aca="false">IF(L31="Sí","NO EVALUABLE",IF(M31="","",IF(K31="Sí","IV",IF(J31="Sí",IF(M31&lt;=64,"I",IF(M31&lt;=141,"II",IF(M31&lt;=230,"III","IV"))),IF(M31&lt;=58,"I",IF(M31&lt;=127,"II",IF(M31&lt;=208,"III","IV")))))))</f>
        <v/>
      </c>
      <c r="S31" s="1"/>
      <c r="T31" s="1"/>
    </row>
    <row r="32" customFormat="false" ht="15" hidden="false" customHeight="true" outlineLevel="0" collapsed="false">
      <c r="A32" s="26" t="str">
        <f aca="false">IF(Protocolos!A32="","",Protocolos!A32)</f>
        <v/>
      </c>
      <c r="B32" s="27"/>
      <c r="C32" s="27"/>
      <c r="D32" s="27"/>
      <c r="E32" s="27"/>
      <c r="F32" s="27"/>
      <c r="G32" s="27"/>
      <c r="H32" s="27"/>
      <c r="I32" s="27"/>
      <c r="J32" s="27"/>
      <c r="K32" s="27"/>
      <c r="L32" s="27"/>
      <c r="M32" s="26" t="str">
        <f aca="false">IF(L32="Sí","",IF(COUNT(B32:I32)=0,"",MAX(0,SUM(B32:I32))))</f>
        <v/>
      </c>
      <c r="N32" s="26" t="str">
        <f aca="false">IF(L32="Sí","NO EVALUABLE",IF(M32="","",IF(K32="Sí","IV",IF(J32="Sí",IF(M32&lt;=64,"I",IF(M32&lt;=141,"II",IF(M32&lt;=230,"III","IV"))),IF(M32&lt;=58,"I",IF(M32&lt;=127,"II",IF(M32&lt;=208,"III","IV")))))))</f>
        <v/>
      </c>
      <c r="S32" s="1"/>
      <c r="T32" s="1"/>
    </row>
    <row r="33" customFormat="false" ht="15" hidden="false" customHeight="true" outlineLevel="0" collapsed="false">
      <c r="A33" s="26" t="str">
        <f aca="false">IF(Protocolos!A33="","",Protocolos!A33)</f>
        <v/>
      </c>
      <c r="B33" s="27"/>
      <c r="C33" s="27"/>
      <c r="D33" s="27"/>
      <c r="E33" s="27"/>
      <c r="F33" s="27"/>
      <c r="G33" s="27"/>
      <c r="H33" s="27"/>
      <c r="I33" s="27"/>
      <c r="J33" s="27"/>
      <c r="K33" s="27"/>
      <c r="L33" s="27"/>
      <c r="M33" s="26" t="str">
        <f aca="false">IF(L33="Sí","",IF(COUNT(B33:I33)=0,"",MAX(0,SUM(B33:I33))))</f>
        <v/>
      </c>
      <c r="N33" s="26" t="str">
        <f aca="false">IF(L33="Sí","NO EVALUABLE",IF(M33="","",IF(K33="Sí","IV",IF(J33="Sí",IF(M33&lt;=64,"I",IF(M33&lt;=141,"II",IF(M33&lt;=230,"III","IV"))),IF(M33&lt;=58,"I",IF(M33&lt;=127,"II",IF(M33&lt;=208,"III","IV")))))))</f>
        <v/>
      </c>
      <c r="S33" s="1"/>
      <c r="T33" s="1"/>
    </row>
    <row r="34" customFormat="false" ht="15" hidden="false" customHeight="true" outlineLevel="0" collapsed="false">
      <c r="A34" s="26" t="str">
        <f aca="false">IF(Protocolos!A34="","",Protocolos!A34)</f>
        <v/>
      </c>
      <c r="B34" s="27"/>
      <c r="C34" s="27"/>
      <c r="D34" s="27"/>
      <c r="E34" s="27"/>
      <c r="F34" s="27"/>
      <c r="G34" s="27"/>
      <c r="H34" s="27"/>
      <c r="I34" s="27"/>
      <c r="J34" s="27"/>
      <c r="K34" s="27"/>
      <c r="L34" s="27"/>
      <c r="M34" s="26" t="str">
        <f aca="false">IF(L34="Sí","",IF(COUNT(B34:I34)=0,"",MAX(0,SUM(B34:I34))))</f>
        <v/>
      </c>
      <c r="N34" s="26" t="str">
        <f aca="false">IF(L34="Sí","NO EVALUABLE",IF(M34="","",IF(K34="Sí","IV",IF(J34="Sí",IF(M34&lt;=64,"I",IF(M34&lt;=141,"II",IF(M34&lt;=230,"III","IV"))),IF(M34&lt;=58,"I",IF(M34&lt;=127,"II",IF(M34&lt;=208,"III","IV")))))))</f>
        <v/>
      </c>
      <c r="S34" s="1"/>
      <c r="T34" s="1"/>
    </row>
    <row r="35" customFormat="false" ht="15" hidden="false" customHeight="true" outlineLevel="0" collapsed="false">
      <c r="A35" s="26" t="str">
        <f aca="false">IF(Protocolos!A35="","",Protocolos!A35)</f>
        <v/>
      </c>
      <c r="B35" s="27"/>
      <c r="C35" s="27"/>
      <c r="D35" s="27"/>
      <c r="E35" s="27"/>
      <c r="F35" s="27"/>
      <c r="G35" s="27"/>
      <c r="H35" s="27"/>
      <c r="I35" s="27"/>
      <c r="J35" s="27"/>
      <c r="K35" s="27"/>
      <c r="L35" s="27"/>
      <c r="M35" s="26" t="str">
        <f aca="false">IF(L35="Sí","",IF(COUNT(B35:I35)=0,"",MAX(0,SUM(B35:I35))))</f>
        <v/>
      </c>
      <c r="N35" s="26" t="str">
        <f aca="false">IF(L35="Sí","NO EVALUABLE",IF(M35="","",IF(K35="Sí","IV",IF(J35="Sí",IF(M35&lt;=64,"I",IF(M35&lt;=141,"II",IF(M35&lt;=230,"III","IV"))),IF(M35&lt;=58,"I",IF(M35&lt;=127,"II",IF(M35&lt;=208,"III","IV")))))))</f>
        <v/>
      </c>
      <c r="S35" s="1"/>
      <c r="T35" s="1"/>
    </row>
    <row r="36" customFormat="false" ht="15" hidden="false" customHeight="true" outlineLevel="0" collapsed="false">
      <c r="A36" s="26" t="str">
        <f aca="false">IF(Protocolos!A36="","",Protocolos!A36)</f>
        <v/>
      </c>
      <c r="B36" s="27"/>
      <c r="C36" s="27"/>
      <c r="D36" s="27"/>
      <c r="E36" s="27"/>
      <c r="F36" s="27"/>
      <c r="G36" s="27"/>
      <c r="H36" s="27"/>
      <c r="I36" s="27"/>
      <c r="J36" s="27"/>
      <c r="K36" s="27"/>
      <c r="L36" s="27"/>
      <c r="M36" s="26" t="str">
        <f aca="false">IF(L36="Sí","",IF(COUNT(B36:I36)=0,"",MAX(0,SUM(B36:I36))))</f>
        <v/>
      </c>
      <c r="N36" s="26" t="str">
        <f aca="false">IF(L36="Sí","NO EVALUABLE",IF(M36="","",IF(K36="Sí","IV",IF(J36="Sí",IF(M36&lt;=64,"I",IF(M36&lt;=141,"II",IF(M36&lt;=230,"III","IV"))),IF(M36&lt;=58,"I",IF(M36&lt;=127,"II",IF(M36&lt;=208,"III","IV")))))))</f>
        <v/>
      </c>
      <c r="S36" s="1"/>
      <c r="T36" s="1"/>
    </row>
    <row r="37" customFormat="false" ht="15" hidden="false" customHeight="true" outlineLevel="0" collapsed="false">
      <c r="A37" s="26" t="str">
        <f aca="false">IF(Protocolos!A37="","",Protocolos!A37)</f>
        <v/>
      </c>
      <c r="B37" s="27"/>
      <c r="C37" s="27"/>
      <c r="D37" s="27"/>
      <c r="E37" s="27"/>
      <c r="F37" s="27"/>
      <c r="G37" s="27"/>
      <c r="H37" s="27"/>
      <c r="I37" s="27"/>
      <c r="J37" s="27"/>
      <c r="K37" s="27"/>
      <c r="L37" s="27"/>
      <c r="M37" s="26" t="str">
        <f aca="false">IF(L37="Sí","",IF(COUNT(B37:I37)=0,"",MAX(0,SUM(B37:I37))))</f>
        <v/>
      </c>
      <c r="N37" s="26" t="str">
        <f aca="false">IF(L37="Sí","NO EVALUABLE",IF(M37="","",IF(K37="Sí","IV",IF(J37="Sí",IF(M37&lt;=64,"I",IF(M37&lt;=141,"II",IF(M37&lt;=230,"III","IV"))),IF(M37&lt;=58,"I",IF(M37&lt;=127,"II",IF(M37&lt;=208,"III","IV")))))))</f>
        <v/>
      </c>
      <c r="S37" s="1"/>
      <c r="T37" s="1"/>
    </row>
    <row r="38" customFormat="false" ht="15" hidden="false" customHeight="true" outlineLevel="0" collapsed="false">
      <c r="A38" s="26" t="str">
        <f aca="false">IF(Protocolos!A38="","",Protocolos!A38)</f>
        <v/>
      </c>
      <c r="B38" s="27"/>
      <c r="C38" s="27"/>
      <c r="D38" s="27"/>
      <c r="E38" s="27"/>
      <c r="F38" s="27"/>
      <c r="G38" s="27"/>
      <c r="H38" s="27"/>
      <c r="I38" s="27"/>
      <c r="J38" s="27"/>
      <c r="K38" s="27"/>
      <c r="L38" s="27"/>
      <c r="M38" s="26" t="str">
        <f aca="false">IF(L38="Sí","",IF(COUNT(B38:I38)=0,"",MAX(0,SUM(B38:I38))))</f>
        <v/>
      </c>
      <c r="N38" s="26" t="str">
        <f aca="false">IF(L38="Sí","NO EVALUABLE",IF(M38="","",IF(K38="Sí","IV",IF(J38="Sí",IF(M38&lt;=64,"I",IF(M38&lt;=141,"II",IF(M38&lt;=230,"III","IV"))),IF(M38&lt;=58,"I",IF(M38&lt;=127,"II",IF(M38&lt;=208,"III","IV")))))))</f>
        <v/>
      </c>
      <c r="S38" s="1"/>
      <c r="T38" s="1"/>
    </row>
    <row r="39" customFormat="false" ht="15" hidden="false" customHeight="true" outlineLevel="0" collapsed="false">
      <c r="A39" s="26" t="str">
        <f aca="false">IF(Protocolos!A39="","",Protocolos!A39)</f>
        <v/>
      </c>
      <c r="B39" s="27"/>
      <c r="C39" s="27"/>
      <c r="D39" s="27"/>
      <c r="E39" s="27"/>
      <c r="F39" s="27"/>
      <c r="G39" s="27"/>
      <c r="H39" s="27"/>
      <c r="I39" s="27"/>
      <c r="J39" s="27"/>
      <c r="K39" s="27"/>
      <c r="L39" s="27"/>
      <c r="M39" s="26" t="str">
        <f aca="false">IF(L39="Sí","",IF(COUNT(B39:I39)=0,"",MAX(0,SUM(B39:I39))))</f>
        <v/>
      </c>
      <c r="N39" s="26" t="str">
        <f aca="false">IF(L39="Sí","NO EVALUABLE",IF(M39="","",IF(K39="Sí","IV",IF(J39="Sí",IF(M39&lt;=64,"I",IF(M39&lt;=141,"II",IF(M39&lt;=230,"III","IV"))),IF(M39&lt;=58,"I",IF(M39&lt;=127,"II",IF(M39&lt;=208,"III","IV")))))))</f>
        <v/>
      </c>
      <c r="S39" s="1"/>
      <c r="T39" s="1"/>
    </row>
    <row r="40" customFormat="false" ht="15" hidden="false" customHeight="true" outlineLevel="0" collapsed="false">
      <c r="A40" s="26" t="str">
        <f aca="false">IF(Protocolos!A40="","",Protocolos!A40)</f>
        <v/>
      </c>
      <c r="B40" s="27"/>
      <c r="C40" s="27"/>
      <c r="D40" s="27"/>
      <c r="E40" s="27"/>
      <c r="F40" s="27"/>
      <c r="G40" s="27"/>
      <c r="H40" s="27"/>
      <c r="I40" s="27"/>
      <c r="J40" s="27"/>
      <c r="K40" s="27"/>
      <c r="L40" s="27"/>
      <c r="M40" s="26" t="str">
        <f aca="false">IF(L40="Sí","",IF(COUNT(B40:I40)=0,"",MAX(0,SUM(B40:I40))))</f>
        <v/>
      </c>
      <c r="N40" s="26" t="str">
        <f aca="false">IF(L40="Sí","NO EVALUABLE",IF(M40="","",IF(K40="Sí","IV",IF(J40="Sí",IF(M40&lt;=64,"I",IF(M40&lt;=141,"II",IF(M40&lt;=230,"III","IV"))),IF(M40&lt;=58,"I",IF(M40&lt;=127,"II",IF(M40&lt;=208,"III","IV")))))))</f>
        <v/>
      </c>
      <c r="S40" s="1"/>
      <c r="T40" s="1"/>
    </row>
    <row r="41" customFormat="false" ht="15" hidden="false" customHeight="true" outlineLevel="0" collapsed="false">
      <c r="A41" s="26" t="str">
        <f aca="false">IF(Protocolos!A41="","",Protocolos!A41)</f>
        <v/>
      </c>
      <c r="B41" s="27"/>
      <c r="C41" s="27"/>
      <c r="D41" s="27"/>
      <c r="E41" s="27"/>
      <c r="F41" s="27"/>
      <c r="G41" s="27"/>
      <c r="H41" s="27"/>
      <c r="I41" s="27"/>
      <c r="J41" s="27"/>
      <c r="K41" s="27"/>
      <c r="L41" s="27"/>
      <c r="M41" s="26" t="str">
        <f aca="false">IF(L41="Sí","",IF(COUNT(B41:I41)=0,"",MAX(0,SUM(B41:I41))))</f>
        <v/>
      </c>
      <c r="N41" s="26" t="str">
        <f aca="false">IF(L41="Sí","NO EVALUABLE",IF(M41="","",IF(K41="Sí","IV",IF(J41="Sí",IF(M41&lt;=64,"I",IF(M41&lt;=141,"II",IF(M41&lt;=230,"III","IV"))),IF(M41&lt;=58,"I",IF(M41&lt;=127,"II",IF(M41&lt;=208,"III","IV")))))))</f>
        <v/>
      </c>
      <c r="S41" s="1"/>
      <c r="T41" s="1"/>
    </row>
    <row r="42" customFormat="false" ht="15" hidden="false" customHeight="true" outlineLevel="0" collapsed="false">
      <c r="A42" s="26" t="str">
        <f aca="false">IF(Protocolos!A42="","",Protocolos!A42)</f>
        <v/>
      </c>
      <c r="B42" s="27"/>
      <c r="C42" s="27"/>
      <c r="D42" s="27"/>
      <c r="E42" s="27"/>
      <c r="F42" s="27"/>
      <c r="G42" s="27"/>
      <c r="H42" s="27"/>
      <c r="I42" s="27"/>
      <c r="J42" s="27"/>
      <c r="K42" s="27"/>
      <c r="L42" s="27"/>
      <c r="M42" s="26" t="str">
        <f aca="false">IF(L42="Sí","",IF(COUNT(B42:I42)=0,"",MAX(0,SUM(B42:I42))))</f>
        <v/>
      </c>
      <c r="N42" s="26" t="str">
        <f aca="false">IF(L42="Sí","NO EVALUABLE",IF(M42="","",IF(K42="Sí","IV",IF(J42="Sí",IF(M42&lt;=64,"I",IF(M42&lt;=141,"II",IF(M42&lt;=230,"III","IV"))),IF(M42&lt;=58,"I",IF(M42&lt;=127,"II",IF(M42&lt;=208,"III","IV")))))))</f>
        <v/>
      </c>
      <c r="S42" s="1"/>
      <c r="T42" s="1"/>
    </row>
    <row r="43" customFormat="false" ht="15" hidden="false" customHeight="true" outlineLevel="0" collapsed="false">
      <c r="A43" s="26" t="str">
        <f aca="false">IF(Protocolos!A43="","",Protocolos!A43)</f>
        <v/>
      </c>
      <c r="B43" s="27"/>
      <c r="C43" s="27"/>
      <c r="D43" s="27"/>
      <c r="E43" s="27"/>
      <c r="F43" s="27"/>
      <c r="G43" s="27"/>
      <c r="H43" s="27"/>
      <c r="I43" s="27"/>
      <c r="J43" s="27"/>
      <c r="K43" s="27"/>
      <c r="L43" s="27"/>
      <c r="M43" s="26" t="str">
        <f aca="false">IF(L43="Sí","",IF(COUNT(B43:I43)=0,"",MAX(0,SUM(B43:I43))))</f>
        <v/>
      </c>
      <c r="N43" s="26" t="str">
        <f aca="false">IF(L43="Sí","NO EVALUABLE",IF(M43="","",IF(K43="Sí","IV",IF(J43="Sí",IF(M43&lt;=64,"I",IF(M43&lt;=141,"II",IF(M43&lt;=230,"III","IV"))),IF(M43&lt;=58,"I",IF(M43&lt;=127,"II",IF(M43&lt;=208,"III","IV")))))))</f>
        <v/>
      </c>
      <c r="S43" s="1"/>
      <c r="T43" s="1"/>
    </row>
    <row r="44" customFormat="false" ht="15" hidden="false" customHeight="true" outlineLevel="0" collapsed="false">
      <c r="A44" s="26" t="str">
        <f aca="false">IF(Protocolos!A44="","",Protocolos!A44)</f>
        <v/>
      </c>
      <c r="B44" s="27"/>
      <c r="C44" s="27"/>
      <c r="D44" s="27"/>
      <c r="E44" s="27"/>
      <c r="F44" s="27"/>
      <c r="G44" s="27"/>
      <c r="H44" s="27"/>
      <c r="I44" s="27"/>
      <c r="J44" s="27"/>
      <c r="K44" s="27"/>
      <c r="L44" s="27"/>
      <c r="M44" s="26" t="str">
        <f aca="false">IF(L44="Sí","",IF(COUNT(B44:I44)=0,"",MAX(0,SUM(B44:I44))))</f>
        <v/>
      </c>
      <c r="N44" s="26" t="str">
        <f aca="false">IF(L44="Sí","NO EVALUABLE",IF(M44="","",IF(K44="Sí","IV",IF(J44="Sí",IF(M44&lt;=64,"I",IF(M44&lt;=141,"II",IF(M44&lt;=230,"III","IV"))),IF(M44&lt;=58,"I",IF(M44&lt;=127,"II",IF(M44&lt;=208,"III","IV")))))))</f>
        <v/>
      </c>
      <c r="S44" s="1"/>
      <c r="T44" s="1"/>
    </row>
    <row r="45" customFormat="false" ht="15" hidden="false" customHeight="true" outlineLevel="0" collapsed="false">
      <c r="A45" s="26" t="str">
        <f aca="false">IF(Protocolos!A45="","",Protocolos!A45)</f>
        <v/>
      </c>
      <c r="B45" s="27"/>
      <c r="C45" s="27"/>
      <c r="D45" s="27"/>
      <c r="E45" s="27"/>
      <c r="F45" s="27"/>
      <c r="G45" s="27"/>
      <c r="H45" s="27"/>
      <c r="I45" s="27"/>
      <c r="J45" s="27"/>
      <c r="K45" s="27"/>
      <c r="L45" s="27"/>
      <c r="M45" s="26" t="str">
        <f aca="false">IF(L45="Sí","",IF(COUNT(B45:I45)=0,"",MAX(0,SUM(B45:I45))))</f>
        <v/>
      </c>
      <c r="N45" s="26" t="str">
        <f aca="false">IF(L45="Sí","NO EVALUABLE",IF(M45="","",IF(K45="Sí","IV",IF(J45="Sí",IF(M45&lt;=64,"I",IF(M45&lt;=141,"II",IF(M45&lt;=230,"III","IV"))),IF(M45&lt;=58,"I",IF(M45&lt;=127,"II",IF(M45&lt;=208,"III","IV")))))))</f>
        <v/>
      </c>
      <c r="S45" s="1"/>
      <c r="T45" s="1"/>
    </row>
    <row r="46" customFormat="false" ht="15" hidden="false" customHeight="true" outlineLevel="0" collapsed="false">
      <c r="A46" s="26" t="str">
        <f aca="false">IF(Protocolos!A46="","",Protocolos!A46)</f>
        <v/>
      </c>
      <c r="B46" s="27"/>
      <c r="C46" s="27"/>
      <c r="D46" s="27"/>
      <c r="E46" s="27"/>
      <c r="F46" s="27"/>
      <c r="G46" s="27"/>
      <c r="H46" s="27"/>
      <c r="I46" s="27"/>
      <c r="J46" s="27"/>
      <c r="K46" s="27"/>
      <c r="L46" s="27"/>
      <c r="M46" s="26" t="str">
        <f aca="false">IF(L46="Sí","",IF(COUNT(B46:I46)=0,"",MAX(0,SUM(B46:I46))))</f>
        <v/>
      </c>
      <c r="N46" s="26" t="str">
        <f aca="false">IF(L46="Sí","NO EVALUABLE",IF(M46="","",IF(K46="Sí","IV",IF(J46="Sí",IF(M46&lt;=64,"I",IF(M46&lt;=141,"II",IF(M46&lt;=230,"III","IV"))),IF(M46&lt;=58,"I",IF(M46&lt;=127,"II",IF(M46&lt;=208,"III","IV")))))))</f>
        <v/>
      </c>
      <c r="S46" s="1"/>
      <c r="T46" s="1"/>
    </row>
    <row r="47" customFormat="false" ht="15" hidden="false" customHeight="true" outlineLevel="0" collapsed="false">
      <c r="A47" s="26" t="str">
        <f aca="false">IF(Protocolos!A47="","",Protocolos!A47)</f>
        <v/>
      </c>
      <c r="B47" s="27"/>
      <c r="C47" s="27"/>
      <c r="D47" s="27"/>
      <c r="E47" s="27"/>
      <c r="F47" s="27"/>
      <c r="G47" s="27"/>
      <c r="H47" s="27"/>
      <c r="I47" s="27"/>
      <c r="J47" s="27"/>
      <c r="K47" s="27"/>
      <c r="L47" s="27"/>
      <c r="M47" s="26" t="str">
        <f aca="false">IF(L47="Sí","",IF(COUNT(B47:I47)=0,"",MAX(0,SUM(B47:I47))))</f>
        <v/>
      </c>
      <c r="N47" s="26" t="str">
        <f aca="false">IF(L47="Sí","NO EVALUABLE",IF(M47="","",IF(K47="Sí","IV",IF(J47="Sí",IF(M47&lt;=64,"I",IF(M47&lt;=141,"II",IF(M47&lt;=230,"III","IV"))),IF(M47&lt;=58,"I",IF(M47&lt;=127,"II",IF(M47&lt;=208,"III","IV")))))))</f>
        <v/>
      </c>
      <c r="S47" s="1"/>
      <c r="T47" s="1"/>
    </row>
    <row r="48" customFormat="false" ht="15" hidden="false" customHeight="true" outlineLevel="0" collapsed="false">
      <c r="A48" s="26" t="str">
        <f aca="false">IF(Protocolos!A48="","",Protocolos!A48)</f>
        <v/>
      </c>
      <c r="B48" s="27"/>
      <c r="C48" s="27"/>
      <c r="D48" s="27"/>
      <c r="E48" s="27"/>
      <c r="F48" s="27"/>
      <c r="G48" s="27"/>
      <c r="H48" s="27"/>
      <c r="I48" s="27"/>
      <c r="J48" s="27"/>
      <c r="K48" s="27"/>
      <c r="L48" s="27"/>
      <c r="M48" s="26" t="str">
        <f aca="false">IF(L48="Sí","",IF(COUNT(B48:I48)=0,"",MAX(0,SUM(B48:I48))))</f>
        <v/>
      </c>
      <c r="N48" s="26" t="str">
        <f aca="false">IF(L48="Sí","NO EVALUABLE",IF(M48="","",IF(K48="Sí","IV",IF(J48="Sí",IF(M48&lt;=64,"I",IF(M48&lt;=141,"II",IF(M48&lt;=230,"III","IV"))),IF(M48&lt;=58,"I",IF(M48&lt;=127,"II",IF(M48&lt;=208,"III","IV")))))))</f>
        <v/>
      </c>
      <c r="S48" s="1"/>
      <c r="T48" s="1"/>
    </row>
    <row r="49" customFormat="false" ht="15" hidden="false" customHeight="true" outlineLevel="0" collapsed="false">
      <c r="A49" s="26" t="str">
        <f aca="false">IF(Protocolos!A49="","",Protocolos!A49)</f>
        <v/>
      </c>
      <c r="B49" s="27"/>
      <c r="C49" s="27"/>
      <c r="D49" s="27"/>
      <c r="E49" s="27"/>
      <c r="F49" s="27"/>
      <c r="G49" s="27"/>
      <c r="H49" s="27"/>
      <c r="I49" s="27"/>
      <c r="J49" s="27"/>
      <c r="K49" s="27"/>
      <c r="L49" s="27"/>
      <c r="M49" s="26" t="str">
        <f aca="false">IF(L49="Sí","",IF(COUNT(B49:I49)=0,"",MAX(0,SUM(B49:I49))))</f>
        <v/>
      </c>
      <c r="N49" s="26" t="str">
        <f aca="false">IF(L49="Sí","NO EVALUABLE",IF(M49="","",IF(K49="Sí","IV",IF(J49="Sí",IF(M49&lt;=64,"I",IF(M49&lt;=141,"II",IF(M49&lt;=230,"III","IV"))),IF(M49&lt;=58,"I",IF(M49&lt;=127,"II",IF(M49&lt;=208,"III","IV")))))))</f>
        <v/>
      </c>
      <c r="S49" s="1"/>
      <c r="T49" s="1"/>
    </row>
    <row r="50" customFormat="false" ht="15" hidden="false" customHeight="true" outlineLevel="0" collapsed="false">
      <c r="A50" s="26" t="str">
        <f aca="false">IF(Protocolos!A50="","",Protocolos!A50)</f>
        <v/>
      </c>
      <c r="B50" s="27"/>
      <c r="C50" s="27"/>
      <c r="D50" s="27"/>
      <c r="E50" s="27"/>
      <c r="F50" s="27"/>
      <c r="G50" s="27"/>
      <c r="H50" s="27"/>
      <c r="I50" s="27"/>
      <c r="J50" s="27"/>
      <c r="K50" s="27"/>
      <c r="L50" s="27"/>
      <c r="M50" s="26" t="str">
        <f aca="false">IF(L50="Sí","",IF(COUNT(B50:I50)=0,"",MAX(0,SUM(B50:I50))))</f>
        <v/>
      </c>
      <c r="N50" s="26" t="str">
        <f aca="false">IF(L50="Sí","NO EVALUABLE",IF(M50="","",IF(K50="Sí","IV",IF(J50="Sí",IF(M50&lt;=64,"I",IF(M50&lt;=141,"II",IF(M50&lt;=230,"III","IV"))),IF(M50&lt;=58,"I",IF(M50&lt;=127,"II",IF(M50&lt;=208,"III","IV")))))))</f>
        <v/>
      </c>
      <c r="S50" s="1"/>
      <c r="T50" s="1"/>
    </row>
    <row r="51" customFormat="false" ht="15" hidden="false" customHeight="true" outlineLevel="0" collapsed="false">
      <c r="A51" s="26" t="str">
        <f aca="false">IF(Protocolos!A51="","",Protocolos!A51)</f>
        <v/>
      </c>
      <c r="B51" s="27"/>
      <c r="C51" s="27"/>
      <c r="D51" s="27"/>
      <c r="E51" s="27"/>
      <c r="F51" s="27"/>
      <c r="G51" s="27"/>
      <c r="H51" s="27"/>
      <c r="I51" s="27"/>
      <c r="J51" s="27"/>
      <c r="K51" s="27"/>
      <c r="L51" s="27"/>
      <c r="M51" s="26" t="str">
        <f aca="false">IF(L51="Sí","",IF(COUNT(B51:I51)=0,"",MAX(0,SUM(B51:I51))))</f>
        <v/>
      </c>
      <c r="N51" s="26" t="str">
        <f aca="false">IF(L51="Sí","NO EVALUABLE",IF(M51="","",IF(K51="Sí","IV",IF(J51="Sí",IF(M51&lt;=64,"I",IF(M51&lt;=141,"II",IF(M51&lt;=230,"III","IV"))),IF(M51&lt;=58,"I",IF(M51&lt;=127,"II",IF(M51&lt;=208,"III","IV")))))))</f>
        <v/>
      </c>
      <c r="S51" s="1"/>
      <c r="T51" s="1"/>
    </row>
    <row r="52" customFormat="false" ht="15" hidden="false" customHeight="true" outlineLevel="0" collapsed="false">
      <c r="A52" s="26" t="str">
        <f aca="false">IF(Protocolos!A52="","",Protocolos!A52)</f>
        <v/>
      </c>
      <c r="B52" s="27"/>
      <c r="C52" s="27"/>
      <c r="D52" s="27"/>
      <c r="E52" s="27"/>
      <c r="F52" s="27"/>
      <c r="G52" s="27"/>
      <c r="H52" s="27"/>
      <c r="I52" s="27"/>
      <c r="J52" s="27"/>
      <c r="K52" s="27"/>
      <c r="L52" s="27"/>
      <c r="M52" s="26" t="str">
        <f aca="false">IF(L52="Sí","",IF(COUNT(B52:I52)=0,"",MAX(0,SUM(B52:I52))))</f>
        <v/>
      </c>
      <c r="N52" s="26" t="str">
        <f aca="false">IF(L52="Sí","NO EVALUABLE",IF(M52="","",IF(K52="Sí","IV",IF(J52="Sí",IF(M52&lt;=64,"I",IF(M52&lt;=141,"II",IF(M52&lt;=230,"III","IV"))),IF(M52&lt;=58,"I",IF(M52&lt;=127,"II",IF(M52&lt;=208,"III","IV")))))))</f>
        <v/>
      </c>
      <c r="S52" s="1"/>
      <c r="T52" s="1"/>
    </row>
    <row r="53" customFormat="false" ht="15" hidden="false" customHeight="true" outlineLevel="0" collapsed="false">
      <c r="A53" s="26" t="str">
        <f aca="false">IF(Protocolos!A53="","",Protocolos!A53)</f>
        <v/>
      </c>
      <c r="B53" s="27"/>
      <c r="C53" s="27"/>
      <c r="D53" s="27"/>
      <c r="E53" s="27"/>
      <c r="F53" s="27"/>
      <c r="G53" s="27"/>
      <c r="H53" s="27"/>
      <c r="I53" s="27"/>
      <c r="J53" s="27"/>
      <c r="K53" s="27"/>
      <c r="L53" s="27"/>
      <c r="M53" s="26" t="str">
        <f aca="false">IF(L53="Sí","",IF(COUNT(B53:I53)=0,"",MAX(0,SUM(B53:I53))))</f>
        <v/>
      </c>
      <c r="N53" s="26" t="str">
        <f aca="false">IF(L53="Sí","NO EVALUABLE",IF(M53="","",IF(K53="Sí","IV",IF(J53="Sí",IF(M53&lt;=64,"I",IF(M53&lt;=141,"II",IF(M53&lt;=230,"III","IV"))),IF(M53&lt;=58,"I",IF(M53&lt;=127,"II",IF(M53&lt;=208,"III","IV")))))))</f>
        <v/>
      </c>
      <c r="S53" s="1"/>
      <c r="T53" s="1"/>
    </row>
    <row r="54" customFormat="false" ht="15" hidden="false" customHeight="true" outlineLevel="0" collapsed="false">
      <c r="S54" s="1"/>
      <c r="T54" s="1"/>
    </row>
    <row r="55" customFormat="false" ht="15" hidden="false" customHeight="true" outlineLevel="0" collapsed="false">
      <c r="S55" s="1"/>
      <c r="T55" s="1"/>
    </row>
    <row r="56" customFormat="false" ht="15" hidden="false" customHeight="true" outlineLevel="0" collapsed="false">
      <c r="S56" s="1"/>
      <c r="T56" s="1"/>
    </row>
    <row r="57" customFormat="false" ht="15" hidden="false" customHeight="true" outlineLevel="0" collapsed="false">
      <c r="S57" s="1"/>
      <c r="T57" s="1"/>
    </row>
    <row r="58" customFormat="false" ht="15" hidden="false" customHeight="true" outlineLevel="0" collapsed="false">
      <c r="S58" s="1"/>
      <c r="T58" s="1"/>
    </row>
    <row r="59" customFormat="false" ht="15" hidden="false" customHeight="true" outlineLevel="0" collapsed="false">
      <c r="S59" s="1"/>
      <c r="T59" s="1"/>
    </row>
    <row r="60" customFormat="false" ht="15" hidden="false" customHeight="true" outlineLevel="0" collapsed="false">
      <c r="S60" s="1"/>
      <c r="T60" s="1"/>
    </row>
  </sheetData>
  <mergeCells count="4">
    <mergeCell ref="A1:N1"/>
    <mergeCell ref="A2:N2"/>
    <mergeCell ref="P3:R3"/>
    <mergeCell ref="P13:R13"/>
  </mergeCells>
  <dataValidations count="2">
    <dataValidation allowBlank="true" error="Elija «Sí» o «No»." errorStyle="stop" errorTitle="Valor inválido" operator="between" showDropDown="false" showErrorMessage="true" showInputMessage="false" sqref="J4:L53" type="list">
      <formula1>"Sí,No"</formula1>
      <formula2>0</formula2>
    </dataValidation>
    <dataValidation allowBlank="true" error="Indique la puntuación numérica del bloque." errorStyle="stop" operator="between" showDropDown="false" showErrorMessage="true" showInputMessage="false" sqref="B4:I53" type="decimal">
      <formula1>-200</formula1>
      <formula2>200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22"/>
    <col collapsed="false" customWidth="true" hidden="false" outlineLevel="0" max="4" min="4" style="1" width="18"/>
    <col collapsed="false" customWidth="true" hidden="false" outlineLevel="0" max="6" min="6" style="1" width="34"/>
    <col collapsed="false" customWidth="true" hidden="false" outlineLevel="0" max="10" min="7" style="1" width="12"/>
  </cols>
  <sheetData>
    <row r="1" customFormat="false" ht="27.75" hidden="false" customHeight="true" outlineLevel="0" collapsed="false">
      <c r="A1" s="6" t="s">
        <v>74</v>
      </c>
      <c r="B1" s="6"/>
      <c r="C1" s="6"/>
      <c r="D1" s="6"/>
    </row>
    <row r="2" customFormat="false" ht="36" hidden="false" customHeight="true" outlineLevel="0" collapsed="false">
      <c r="A2" s="11" t="s">
        <v>75</v>
      </c>
      <c r="B2" s="11"/>
      <c r="C2" s="11"/>
      <c r="D2" s="11"/>
    </row>
    <row r="3" customFormat="false" ht="15" hidden="false" customHeight="true" outlineLevel="0" collapsed="false">
      <c r="A3" s="8" t="s">
        <v>19</v>
      </c>
      <c r="B3" s="8" t="s">
        <v>76</v>
      </c>
      <c r="C3" s="8" t="s">
        <v>77</v>
      </c>
      <c r="D3" s="8" t="s">
        <v>78</v>
      </c>
      <c r="F3" s="12" t="s">
        <v>79</v>
      </c>
      <c r="G3" s="12"/>
      <c r="H3" s="12"/>
      <c r="I3" s="12"/>
      <c r="J3" s="12"/>
    </row>
    <row r="4" customFormat="false" ht="15" hidden="false" customHeight="true" outlineLevel="0" collapsed="false">
      <c r="A4" s="13" t="str">
        <f aca="false">IF(Protocolos!A4="","",Protocolos!A4)</f>
        <v/>
      </c>
      <c r="B4" s="13" t="str">
        <f aca="false">IF('Versión A'!B4="","",'Versión A'!B4)</f>
        <v/>
      </c>
      <c r="C4" s="13" t="str">
        <f aca="false">IFERROR(IF('Versión B'!N4="","",'Versión B'!N4),"")</f>
        <v/>
      </c>
      <c r="D4" s="13" t="str">
        <f aca="false">IF(OR(B4="",C4="",ISNA(MATCH(B4,{"I","II","III","IV"},0)),ISNA(MATCH(C4,{"I","II","III","IV"},0))),"",IF(B4=C4,"Sí","No"))</f>
        <v/>
      </c>
      <c r="G4" s="8" t="s">
        <v>80</v>
      </c>
      <c r="H4" s="8" t="s">
        <v>81</v>
      </c>
      <c r="I4" s="8" t="s">
        <v>82</v>
      </c>
      <c r="J4" s="8" t="s">
        <v>83</v>
      </c>
    </row>
    <row r="5" customFormat="false" ht="15" hidden="false" customHeight="true" outlineLevel="0" collapsed="false">
      <c r="A5" s="13" t="str">
        <f aca="false">IF(Protocolos!A5="","",Protocolos!A5)</f>
        <v/>
      </c>
      <c r="B5" s="13" t="str">
        <f aca="false">IF('Versión A'!B5="","",'Versión A'!B5)</f>
        <v/>
      </c>
      <c r="C5" s="13" t="str">
        <f aca="false">IFERROR(IF('Versión B'!N5="","",'Versión B'!N5),"")</f>
        <v/>
      </c>
      <c r="D5" s="13" t="str">
        <f aca="false">IF(OR(B5="",C5="",ISNA(MATCH(B5,{"I","II","III","IV"},0)),ISNA(MATCH(C5,{"I","II","III","IV"},0))),"",IF(B5=C5,"Sí","No"))</f>
        <v/>
      </c>
      <c r="F5" s="8" t="s">
        <v>84</v>
      </c>
      <c r="G5" s="16" t="n">
        <f aca="false">COUNTIFS(B4:B53,"I",C4:C53,"I")</f>
        <v>0</v>
      </c>
      <c r="H5" s="16" t="n">
        <f aca="false">COUNTIFS(B4:B53,"I",C4:C53,"II")</f>
        <v>0</v>
      </c>
      <c r="I5" s="16" t="n">
        <f aca="false">COUNTIFS(B4:B53,"I",C4:C53,"III")</f>
        <v>0</v>
      </c>
      <c r="J5" s="16" t="n">
        <f aca="false">COUNTIFS(B4:B53,"I",C4:C53,"IV")</f>
        <v>0</v>
      </c>
    </row>
    <row r="6" customFormat="false" ht="15" hidden="false" customHeight="true" outlineLevel="0" collapsed="false">
      <c r="A6" s="13" t="str">
        <f aca="false">IF(Protocolos!A6="","",Protocolos!A6)</f>
        <v/>
      </c>
      <c r="B6" s="13" t="str">
        <f aca="false">IF('Versión A'!B6="","",'Versión A'!B6)</f>
        <v/>
      </c>
      <c r="C6" s="13" t="str">
        <f aca="false">IFERROR(IF('Versión B'!N6="","",'Versión B'!N6),"")</f>
        <v/>
      </c>
      <c r="D6" s="13" t="str">
        <f aca="false">IF(OR(B6="",C6="",ISNA(MATCH(B6,{"I","II","III","IV"},0)),ISNA(MATCH(C6,{"I","II","III","IV"},0))),"",IF(B6=C6,"Sí","No"))</f>
        <v/>
      </c>
      <c r="F6" s="8" t="s">
        <v>85</v>
      </c>
      <c r="G6" s="16" t="n">
        <f aca="false">COUNTIFS(B4:B53,"II",C4:C53,"I")</f>
        <v>0</v>
      </c>
      <c r="H6" s="16" t="n">
        <f aca="false">COUNTIFS(B4:B53,"II",C4:C53,"II")</f>
        <v>0</v>
      </c>
      <c r="I6" s="16" t="n">
        <f aca="false">COUNTIFS(B4:B53,"II",C4:C53,"III")</f>
        <v>0</v>
      </c>
      <c r="J6" s="16" t="n">
        <f aca="false">COUNTIFS(B4:B53,"II",C4:C53,"IV")</f>
        <v>0</v>
      </c>
    </row>
    <row r="7" customFormat="false" ht="15" hidden="false" customHeight="true" outlineLevel="0" collapsed="false">
      <c r="A7" s="13" t="str">
        <f aca="false">IF(Protocolos!A7="","",Protocolos!A7)</f>
        <v/>
      </c>
      <c r="B7" s="13" t="str">
        <f aca="false">IF('Versión A'!B7="","",'Versión A'!B7)</f>
        <v/>
      </c>
      <c r="C7" s="13" t="str">
        <f aca="false">IFERROR(IF('Versión B'!N7="","",'Versión B'!N7),"")</f>
        <v/>
      </c>
      <c r="D7" s="13" t="str">
        <f aca="false">IF(OR(B7="",C7="",ISNA(MATCH(B7,{"I","II","III","IV"},0)),ISNA(MATCH(C7,{"I","II","III","IV"},0))),"",IF(B7=C7,"Sí","No"))</f>
        <v/>
      </c>
      <c r="F7" s="8" t="s">
        <v>86</v>
      </c>
      <c r="G7" s="16" t="n">
        <f aca="false">COUNTIFS(B4:B53,"III",C4:C53,"I")</f>
        <v>0</v>
      </c>
      <c r="H7" s="16" t="n">
        <f aca="false">COUNTIFS(B4:B53,"III",C4:C53,"II")</f>
        <v>0</v>
      </c>
      <c r="I7" s="16" t="n">
        <f aca="false">COUNTIFS(B4:B53,"III",C4:C53,"III")</f>
        <v>0</v>
      </c>
      <c r="J7" s="16" t="n">
        <f aca="false">COUNTIFS(B4:B53,"III",C4:C53,"IV")</f>
        <v>0</v>
      </c>
    </row>
    <row r="8" customFormat="false" ht="15" hidden="false" customHeight="true" outlineLevel="0" collapsed="false">
      <c r="A8" s="13" t="str">
        <f aca="false">IF(Protocolos!A8="","",Protocolos!A8)</f>
        <v/>
      </c>
      <c r="B8" s="13" t="str">
        <f aca="false">IF('Versión A'!B8="","",'Versión A'!B8)</f>
        <v/>
      </c>
      <c r="C8" s="13" t="str">
        <f aca="false">IFERROR(IF('Versión B'!N8="","",'Versión B'!N8),"")</f>
        <v/>
      </c>
      <c r="D8" s="13" t="str">
        <f aca="false">IF(OR(B8="",C8="",ISNA(MATCH(B8,{"I","II","III","IV"},0)),ISNA(MATCH(C8,{"I","II","III","IV"},0))),"",IF(B8=C8,"Sí","No"))</f>
        <v/>
      </c>
      <c r="F8" s="8" t="s">
        <v>87</v>
      </c>
      <c r="G8" s="16" t="n">
        <f aca="false">COUNTIFS(B4:B53,"IV",C4:C53,"I")</f>
        <v>0</v>
      </c>
      <c r="H8" s="16" t="n">
        <f aca="false">COUNTIFS(B4:B53,"IV",C4:C53,"II")</f>
        <v>0</v>
      </c>
      <c r="I8" s="16" t="n">
        <f aca="false">COUNTIFS(B4:B53,"IV",C4:C53,"III")</f>
        <v>0</v>
      </c>
      <c r="J8" s="16" t="n">
        <f aca="false">COUNTIFS(B4:B53,"IV",C4:C53,"IV")</f>
        <v>0</v>
      </c>
    </row>
    <row r="9" customFormat="false" ht="15" hidden="false" customHeight="true" outlineLevel="0" collapsed="false">
      <c r="A9" s="13" t="str">
        <f aca="false">IF(Protocolos!A9="","",Protocolos!A9)</f>
        <v/>
      </c>
      <c r="B9" s="13" t="str">
        <f aca="false">IF('Versión A'!B9="","",'Versión A'!B9)</f>
        <v/>
      </c>
      <c r="C9" s="13" t="str">
        <f aca="false">IFERROR(IF('Versión B'!N9="","",'Versión B'!N9),"")</f>
        <v/>
      </c>
      <c r="D9" s="13" t="str">
        <f aca="false">IF(OR(B9="",C9="",ISNA(MATCH(B9,{"I","II","III","IV"},0)),ISNA(MATCH(C9,{"I","II","III","IV"},0))),"",IF(B9=C9,"Sí","No"))</f>
        <v/>
      </c>
    </row>
    <row r="10" customFormat="false" ht="15" hidden="false" customHeight="true" outlineLevel="0" collapsed="false">
      <c r="A10" s="13" t="str">
        <f aca="false">IF(Protocolos!A10="","",Protocolos!A10)</f>
        <v/>
      </c>
      <c r="B10" s="13" t="str">
        <f aca="false">IF('Versión A'!B10="","",'Versión A'!B10)</f>
        <v/>
      </c>
      <c r="C10" s="13" t="str">
        <f aca="false">IFERROR(IF('Versión B'!N10="","",'Versión B'!N10),"")</f>
        <v/>
      </c>
      <c r="D10" s="13" t="str">
        <f aca="false">IF(OR(B10="",C10="",ISNA(MATCH(B10,{"I","II","III","IV"},0)),ISNA(MATCH(C10,{"I","II","III","IV"},0))),"",IF(B10=C10,"Sí","No"))</f>
        <v/>
      </c>
      <c r="F10" s="8" t="s">
        <v>88</v>
      </c>
      <c r="G10" s="8" t="s">
        <v>89</v>
      </c>
    </row>
    <row r="11" customFormat="false" ht="15" hidden="false" customHeight="true" outlineLevel="0" collapsed="false">
      <c r="A11" s="13" t="str">
        <f aca="false">IF(Protocolos!A11="","",Protocolos!A11)</f>
        <v/>
      </c>
      <c r="B11" s="13" t="str">
        <f aca="false">IF('Versión A'!B11="","",'Versión A'!B11)</f>
        <v/>
      </c>
      <c r="C11" s="13" t="str">
        <f aca="false">IFERROR(IF('Versión B'!N11="","",'Versión B'!N11),"")</f>
        <v/>
      </c>
      <c r="D11" s="13" t="str">
        <f aca="false">IF(OR(B11="",C11="",ISNA(MATCH(B11,{"I","II","III","IV"},0)),ISNA(MATCH(C11,{"I","II","III","IV"},0))),"",IF(B11=C11,"Sí","No"))</f>
        <v/>
      </c>
      <c r="F11" s="35" t="s">
        <v>90</v>
      </c>
      <c r="G11" s="16" t="n">
        <f aca="false">COUNTIF(D4:D53,"Sí")+COUNTIF(D4:D53,"No")</f>
        <v>0</v>
      </c>
    </row>
    <row r="12" customFormat="false" ht="15" hidden="false" customHeight="true" outlineLevel="0" collapsed="false">
      <c r="A12" s="13" t="str">
        <f aca="false">IF(Protocolos!A12="","",Protocolos!A12)</f>
        <v/>
      </c>
      <c r="B12" s="13" t="str">
        <f aca="false">IF('Versión A'!B12="","",'Versión A'!B12)</f>
        <v/>
      </c>
      <c r="C12" s="13" t="str">
        <f aca="false">IFERROR(IF('Versión B'!N12="","",'Versión B'!N12),"")</f>
        <v/>
      </c>
      <c r="D12" s="13" t="str">
        <f aca="false">IF(OR(B12="",C12="",ISNA(MATCH(B12,{"I","II","III","IV"},0)),ISNA(MATCH(C12,{"I","II","III","IV"},0))),"",IF(B12=C12,"Sí","No"))</f>
        <v/>
      </c>
      <c r="F12" s="35" t="s">
        <v>91</v>
      </c>
      <c r="G12" s="16" t="n">
        <f aca="false">COUNTIF(D4:D53,"Sí")</f>
        <v>0</v>
      </c>
    </row>
    <row r="13" customFormat="false" ht="15" hidden="false" customHeight="true" outlineLevel="0" collapsed="false">
      <c r="A13" s="13" t="str">
        <f aca="false">IF(Protocolos!A13="","",Protocolos!A13)</f>
        <v/>
      </c>
      <c r="B13" s="13" t="str">
        <f aca="false">IF('Versión A'!B13="","",'Versión A'!B13)</f>
        <v/>
      </c>
      <c r="C13" s="13" t="str">
        <f aca="false">IFERROR(IF('Versión B'!N13="","",'Versión B'!N13),"")</f>
        <v/>
      </c>
      <c r="D13" s="13" t="str">
        <f aca="false">IF(OR(B13="",C13="",ISNA(MATCH(B13,{"I","II","III","IV"},0)),ISNA(MATCH(C13,{"I","II","III","IV"},0))),"",IF(B13=C13,"Sí","No"))</f>
        <v/>
      </c>
      <c r="F13" s="35" t="s">
        <v>92</v>
      </c>
      <c r="G13" s="36" t="str">
        <f aca="false">IF(G11=0,"",G12/G11)</f>
        <v/>
      </c>
    </row>
    <row r="14" customFormat="false" ht="15" hidden="false" customHeight="true" outlineLevel="0" collapsed="false">
      <c r="A14" s="13" t="str">
        <f aca="false">IF(Protocolos!A14="","",Protocolos!A14)</f>
        <v/>
      </c>
      <c r="B14" s="13" t="str">
        <f aca="false">IF('Versión A'!B14="","",'Versión A'!B14)</f>
        <v/>
      </c>
      <c r="C14" s="13" t="str">
        <f aca="false">IFERROR(IF('Versión B'!N14="","",'Versión B'!N14),"")</f>
        <v/>
      </c>
      <c r="D14" s="13" t="str">
        <f aca="false">IF(OR(B14="",C14="",ISNA(MATCH(B14,{"I","II","III","IV"},0)),ISNA(MATCH(C14,{"I","II","III","IV"},0))),"",IF(B14=C14,"Sí","No"))</f>
        <v/>
      </c>
    </row>
    <row r="15" customFormat="false" ht="15" hidden="false" customHeight="true" outlineLevel="0" collapsed="false">
      <c r="A15" s="13" t="str">
        <f aca="false">IF(Protocolos!A15="","",Protocolos!A15)</f>
        <v/>
      </c>
      <c r="B15" s="13" t="str">
        <f aca="false">IF('Versión A'!B15="","",'Versión A'!B15)</f>
        <v/>
      </c>
      <c r="C15" s="13" t="str">
        <f aca="false">IFERROR(IF('Versión B'!N15="","",'Versión B'!N15),"")</f>
        <v/>
      </c>
      <c r="D15" s="13" t="str">
        <f aca="false">IF(OR(B15="",C15="",ISNA(MATCH(B15,{"I","II","III","IV"},0)),ISNA(MATCH(C15,{"I","II","III","IV"},0))),"",IF(B15=C15,"Sí","No"))</f>
        <v/>
      </c>
    </row>
    <row r="16" customFormat="false" ht="15" hidden="false" customHeight="true" outlineLevel="0" collapsed="false">
      <c r="A16" s="13" t="str">
        <f aca="false">IF(Protocolos!A16="","",Protocolos!A16)</f>
        <v/>
      </c>
      <c r="B16" s="13" t="str">
        <f aca="false">IF('Versión A'!B16="","",'Versión A'!B16)</f>
        <v/>
      </c>
      <c r="C16" s="13" t="str">
        <f aca="false">IFERROR(IF('Versión B'!N16="","",'Versión B'!N16),"")</f>
        <v/>
      </c>
      <c r="D16" s="13" t="str">
        <f aca="false">IF(OR(B16="",C16="",ISNA(MATCH(B16,{"I","II","III","IV"},0)),ISNA(MATCH(C16,{"I","II","III","IV"},0))),"",IF(B16=C16,"Sí","No"))</f>
        <v/>
      </c>
    </row>
    <row r="17" customFormat="false" ht="15" hidden="false" customHeight="true" outlineLevel="0" collapsed="false">
      <c r="A17" s="13" t="str">
        <f aca="false">IF(Protocolos!A17="","",Protocolos!A17)</f>
        <v/>
      </c>
      <c r="B17" s="13" t="str">
        <f aca="false">IF('Versión A'!B17="","",'Versión A'!B17)</f>
        <v/>
      </c>
      <c r="C17" s="13" t="str">
        <f aca="false">IFERROR(IF('Versión B'!N17="","",'Versión B'!N17),"")</f>
        <v/>
      </c>
      <c r="D17" s="13" t="str">
        <f aca="false">IF(OR(B17="",C17="",ISNA(MATCH(B17,{"I","II","III","IV"},0)),ISNA(MATCH(C17,{"I","II","III","IV"},0))),"",IF(B17=C17,"Sí","No"))</f>
        <v/>
      </c>
    </row>
    <row r="18" customFormat="false" ht="15" hidden="false" customHeight="true" outlineLevel="0" collapsed="false">
      <c r="A18" s="13" t="str">
        <f aca="false">IF(Protocolos!A18="","",Protocolos!A18)</f>
        <v/>
      </c>
      <c r="B18" s="13" t="str">
        <f aca="false">IF('Versión A'!B18="","",'Versión A'!B18)</f>
        <v/>
      </c>
      <c r="C18" s="13" t="str">
        <f aca="false">IFERROR(IF('Versión B'!N18="","",'Versión B'!N18),"")</f>
        <v/>
      </c>
      <c r="D18" s="13" t="str">
        <f aca="false">IF(OR(B18="",C18="",ISNA(MATCH(B18,{"I","II","III","IV"},0)),ISNA(MATCH(C18,{"I","II","III","IV"},0))),"",IF(B18=C18,"Sí","No"))</f>
        <v/>
      </c>
    </row>
    <row r="19" customFormat="false" ht="15" hidden="false" customHeight="true" outlineLevel="0" collapsed="false">
      <c r="A19" s="13" t="str">
        <f aca="false">IF(Protocolos!A19="","",Protocolos!A19)</f>
        <v/>
      </c>
      <c r="B19" s="13" t="str">
        <f aca="false">IF('Versión A'!B19="","",'Versión A'!B19)</f>
        <v/>
      </c>
      <c r="C19" s="13" t="str">
        <f aca="false">IFERROR(IF('Versión B'!N19="","",'Versión B'!N19),"")</f>
        <v/>
      </c>
      <c r="D19" s="13" t="str">
        <f aca="false">IF(OR(B19="",C19="",ISNA(MATCH(B19,{"I","II","III","IV"},0)),ISNA(MATCH(C19,{"I","II","III","IV"},0))),"",IF(B19=C19,"Sí","No"))</f>
        <v/>
      </c>
    </row>
    <row r="20" customFormat="false" ht="15" hidden="false" customHeight="true" outlineLevel="0" collapsed="false">
      <c r="A20" s="13" t="str">
        <f aca="false">IF(Protocolos!A20="","",Protocolos!A20)</f>
        <v/>
      </c>
      <c r="B20" s="13" t="str">
        <f aca="false">IF('Versión A'!B20="","",'Versión A'!B20)</f>
        <v/>
      </c>
      <c r="C20" s="13" t="str">
        <f aca="false">IFERROR(IF('Versión B'!N20="","",'Versión B'!N20),"")</f>
        <v/>
      </c>
      <c r="D20" s="13" t="str">
        <f aca="false">IF(OR(B20="",C20="",ISNA(MATCH(B20,{"I","II","III","IV"},0)),ISNA(MATCH(C20,{"I","II","III","IV"},0))),"",IF(B20=C20,"Sí","No"))</f>
        <v/>
      </c>
    </row>
    <row r="21" customFormat="false" ht="15" hidden="false" customHeight="true" outlineLevel="0" collapsed="false">
      <c r="A21" s="13" t="str">
        <f aca="false">IF(Protocolos!A21="","",Protocolos!A21)</f>
        <v/>
      </c>
      <c r="B21" s="13" t="str">
        <f aca="false">IF('Versión A'!B21="","",'Versión A'!B21)</f>
        <v/>
      </c>
      <c r="C21" s="13" t="str">
        <f aca="false">IFERROR(IF('Versión B'!N21="","",'Versión B'!N21),"")</f>
        <v/>
      </c>
      <c r="D21" s="13" t="str">
        <f aca="false">IF(OR(B21="",C21="",ISNA(MATCH(B21,{"I","II","III","IV"},0)),ISNA(MATCH(C21,{"I","II","III","IV"},0))),"",IF(B21=C21,"Sí","No"))</f>
        <v/>
      </c>
    </row>
    <row r="22" customFormat="false" ht="15" hidden="false" customHeight="true" outlineLevel="0" collapsed="false">
      <c r="A22" s="13" t="str">
        <f aca="false">IF(Protocolos!A22="","",Protocolos!A22)</f>
        <v/>
      </c>
      <c r="B22" s="13" t="str">
        <f aca="false">IF('Versión A'!B22="","",'Versión A'!B22)</f>
        <v/>
      </c>
      <c r="C22" s="13" t="str">
        <f aca="false">IFERROR(IF('Versión B'!N22="","",'Versión B'!N22),"")</f>
        <v/>
      </c>
      <c r="D22" s="13" t="str">
        <f aca="false">IF(OR(B22="",C22="",ISNA(MATCH(B22,{"I","II","III","IV"},0)),ISNA(MATCH(C22,{"I","II","III","IV"},0))),"",IF(B22=C22,"Sí","No"))</f>
        <v/>
      </c>
    </row>
    <row r="23" customFormat="false" ht="15" hidden="false" customHeight="true" outlineLevel="0" collapsed="false">
      <c r="A23" s="13" t="str">
        <f aca="false">IF(Protocolos!A23="","",Protocolos!A23)</f>
        <v/>
      </c>
      <c r="B23" s="13" t="str">
        <f aca="false">IF('Versión A'!B23="","",'Versión A'!B23)</f>
        <v/>
      </c>
      <c r="C23" s="13" t="str">
        <f aca="false">IFERROR(IF('Versión B'!N23="","",'Versión B'!N23),"")</f>
        <v/>
      </c>
      <c r="D23" s="13" t="str">
        <f aca="false">IF(OR(B23="",C23="",ISNA(MATCH(B23,{"I","II","III","IV"},0)),ISNA(MATCH(C23,{"I","II","III","IV"},0))),"",IF(B23=C23,"Sí","No"))</f>
        <v/>
      </c>
    </row>
    <row r="24" customFormat="false" ht="15" hidden="false" customHeight="true" outlineLevel="0" collapsed="false">
      <c r="A24" s="13" t="str">
        <f aca="false">IF(Protocolos!A24="","",Protocolos!A24)</f>
        <v/>
      </c>
      <c r="B24" s="13" t="str">
        <f aca="false">IF('Versión A'!B24="","",'Versión A'!B24)</f>
        <v/>
      </c>
      <c r="C24" s="13" t="str">
        <f aca="false">IFERROR(IF('Versión B'!N24="","",'Versión B'!N24),"")</f>
        <v/>
      </c>
      <c r="D24" s="13" t="str">
        <f aca="false">IF(OR(B24="",C24="",ISNA(MATCH(B24,{"I","II","III","IV"},0)),ISNA(MATCH(C24,{"I","II","III","IV"},0))),"",IF(B24=C24,"Sí","No"))</f>
        <v/>
      </c>
    </row>
    <row r="25" customFormat="false" ht="15" hidden="false" customHeight="true" outlineLevel="0" collapsed="false">
      <c r="A25" s="13" t="str">
        <f aca="false">IF(Protocolos!A25="","",Protocolos!A25)</f>
        <v/>
      </c>
      <c r="B25" s="13" t="str">
        <f aca="false">IF('Versión A'!B25="","",'Versión A'!B25)</f>
        <v/>
      </c>
      <c r="C25" s="13" t="str">
        <f aca="false">IFERROR(IF('Versión B'!N25="","",'Versión B'!N25),"")</f>
        <v/>
      </c>
      <c r="D25" s="13" t="str">
        <f aca="false">IF(OR(B25="",C25="",ISNA(MATCH(B25,{"I","II","III","IV"},0)),ISNA(MATCH(C25,{"I","II","III","IV"},0))),"",IF(B25=C25,"Sí","No"))</f>
        <v/>
      </c>
    </row>
    <row r="26" customFormat="false" ht="15" hidden="false" customHeight="true" outlineLevel="0" collapsed="false">
      <c r="A26" s="13" t="str">
        <f aca="false">IF(Protocolos!A26="","",Protocolos!A26)</f>
        <v/>
      </c>
      <c r="B26" s="13" t="str">
        <f aca="false">IF('Versión A'!B26="","",'Versión A'!B26)</f>
        <v/>
      </c>
      <c r="C26" s="13" t="str">
        <f aca="false">IFERROR(IF('Versión B'!N26="","",'Versión B'!N26),"")</f>
        <v/>
      </c>
      <c r="D26" s="13" t="str">
        <f aca="false">IF(OR(B26="",C26="",ISNA(MATCH(B26,{"I","II","III","IV"},0)),ISNA(MATCH(C26,{"I","II","III","IV"},0))),"",IF(B26=C26,"Sí","No"))</f>
        <v/>
      </c>
    </row>
    <row r="27" customFormat="false" ht="15" hidden="false" customHeight="true" outlineLevel="0" collapsed="false">
      <c r="A27" s="13" t="str">
        <f aca="false">IF(Protocolos!A27="","",Protocolos!A27)</f>
        <v/>
      </c>
      <c r="B27" s="13" t="str">
        <f aca="false">IF('Versión A'!B27="","",'Versión A'!B27)</f>
        <v/>
      </c>
      <c r="C27" s="13" t="str">
        <f aca="false">IFERROR(IF('Versión B'!N27="","",'Versión B'!N27),"")</f>
        <v/>
      </c>
      <c r="D27" s="13" t="str">
        <f aca="false">IF(OR(B27="",C27="",ISNA(MATCH(B27,{"I","II","III","IV"},0)),ISNA(MATCH(C27,{"I","II","III","IV"},0))),"",IF(B27=C27,"Sí","No"))</f>
        <v/>
      </c>
    </row>
    <row r="28" customFormat="false" ht="15" hidden="false" customHeight="true" outlineLevel="0" collapsed="false">
      <c r="A28" s="13" t="str">
        <f aca="false">IF(Protocolos!A28="","",Protocolos!A28)</f>
        <v/>
      </c>
      <c r="B28" s="13" t="str">
        <f aca="false">IF('Versión A'!B28="","",'Versión A'!B28)</f>
        <v/>
      </c>
      <c r="C28" s="13" t="str">
        <f aca="false">IFERROR(IF('Versión B'!N28="","",'Versión B'!N28),"")</f>
        <v/>
      </c>
      <c r="D28" s="13" t="str">
        <f aca="false">IF(OR(B28="",C28="",ISNA(MATCH(B28,{"I","II","III","IV"},0)),ISNA(MATCH(C28,{"I","II","III","IV"},0))),"",IF(B28=C28,"Sí","No"))</f>
        <v/>
      </c>
    </row>
    <row r="29" customFormat="false" ht="15" hidden="false" customHeight="true" outlineLevel="0" collapsed="false">
      <c r="A29" s="13" t="str">
        <f aca="false">IF(Protocolos!A29="","",Protocolos!A29)</f>
        <v/>
      </c>
      <c r="B29" s="13" t="str">
        <f aca="false">IF('Versión A'!B29="","",'Versión A'!B29)</f>
        <v/>
      </c>
      <c r="C29" s="13" t="str">
        <f aca="false">IFERROR(IF('Versión B'!N29="","",'Versión B'!N29),"")</f>
        <v/>
      </c>
      <c r="D29" s="13" t="str">
        <f aca="false">IF(OR(B29="",C29="",ISNA(MATCH(B29,{"I","II","III","IV"},0)),ISNA(MATCH(C29,{"I","II","III","IV"},0))),"",IF(B29=C29,"Sí","No"))</f>
        <v/>
      </c>
    </row>
    <row r="30" customFormat="false" ht="15" hidden="false" customHeight="true" outlineLevel="0" collapsed="false">
      <c r="A30" s="13" t="str">
        <f aca="false">IF(Protocolos!A30="","",Protocolos!A30)</f>
        <v/>
      </c>
      <c r="B30" s="13" t="str">
        <f aca="false">IF('Versión A'!B30="","",'Versión A'!B30)</f>
        <v/>
      </c>
      <c r="C30" s="13" t="str">
        <f aca="false">IFERROR(IF('Versión B'!N30="","",'Versión B'!N30),"")</f>
        <v/>
      </c>
      <c r="D30" s="13" t="str">
        <f aca="false">IF(OR(B30="",C30="",ISNA(MATCH(B30,{"I","II","III","IV"},0)),ISNA(MATCH(C30,{"I","II","III","IV"},0))),"",IF(B30=C30,"Sí","No"))</f>
        <v/>
      </c>
    </row>
    <row r="31" customFormat="false" ht="15" hidden="false" customHeight="true" outlineLevel="0" collapsed="false">
      <c r="A31" s="13" t="str">
        <f aca="false">IF(Protocolos!A31="","",Protocolos!A31)</f>
        <v/>
      </c>
      <c r="B31" s="13" t="str">
        <f aca="false">IF('Versión A'!B31="","",'Versión A'!B31)</f>
        <v/>
      </c>
      <c r="C31" s="13" t="str">
        <f aca="false">IFERROR(IF('Versión B'!N31="","",'Versión B'!N31),"")</f>
        <v/>
      </c>
      <c r="D31" s="13" t="str">
        <f aca="false">IF(OR(B31="",C31="",ISNA(MATCH(B31,{"I","II","III","IV"},0)),ISNA(MATCH(C31,{"I","II","III","IV"},0))),"",IF(B31=C31,"Sí","No"))</f>
        <v/>
      </c>
    </row>
    <row r="32" customFormat="false" ht="15" hidden="false" customHeight="true" outlineLevel="0" collapsed="false">
      <c r="A32" s="13" t="str">
        <f aca="false">IF(Protocolos!A32="","",Protocolos!A32)</f>
        <v/>
      </c>
      <c r="B32" s="13" t="str">
        <f aca="false">IF('Versión A'!B32="","",'Versión A'!B32)</f>
        <v/>
      </c>
      <c r="C32" s="13" t="str">
        <f aca="false">IFERROR(IF('Versión B'!N32="","",'Versión B'!N32),"")</f>
        <v/>
      </c>
      <c r="D32" s="13" t="str">
        <f aca="false">IF(OR(B32="",C32="",ISNA(MATCH(B32,{"I","II","III","IV"},0)),ISNA(MATCH(C32,{"I","II","III","IV"},0))),"",IF(B32=C32,"Sí","No"))</f>
        <v/>
      </c>
    </row>
    <row r="33" customFormat="false" ht="15" hidden="false" customHeight="true" outlineLevel="0" collapsed="false">
      <c r="A33" s="13" t="str">
        <f aca="false">IF(Protocolos!A33="","",Protocolos!A33)</f>
        <v/>
      </c>
      <c r="B33" s="13" t="str">
        <f aca="false">IF('Versión A'!B33="","",'Versión A'!B33)</f>
        <v/>
      </c>
      <c r="C33" s="13" t="str">
        <f aca="false">IFERROR(IF('Versión B'!N33="","",'Versión B'!N33),"")</f>
        <v/>
      </c>
      <c r="D33" s="13" t="str">
        <f aca="false">IF(OR(B33="",C33="",ISNA(MATCH(B33,{"I","II","III","IV"},0)),ISNA(MATCH(C33,{"I","II","III","IV"},0))),"",IF(B33=C33,"Sí","No"))</f>
        <v/>
      </c>
    </row>
    <row r="34" customFormat="false" ht="15" hidden="false" customHeight="true" outlineLevel="0" collapsed="false">
      <c r="A34" s="13" t="str">
        <f aca="false">IF(Protocolos!A34="","",Protocolos!A34)</f>
        <v/>
      </c>
      <c r="B34" s="13" t="str">
        <f aca="false">IF('Versión A'!B34="","",'Versión A'!B34)</f>
        <v/>
      </c>
      <c r="C34" s="13" t="str">
        <f aca="false">IFERROR(IF('Versión B'!N34="","",'Versión B'!N34),"")</f>
        <v/>
      </c>
      <c r="D34" s="13" t="str">
        <f aca="false">IF(OR(B34="",C34="",ISNA(MATCH(B34,{"I","II","III","IV"},0)),ISNA(MATCH(C34,{"I","II","III","IV"},0))),"",IF(B34=C34,"Sí","No"))</f>
        <v/>
      </c>
    </row>
    <row r="35" customFormat="false" ht="15" hidden="false" customHeight="true" outlineLevel="0" collapsed="false">
      <c r="A35" s="13" t="str">
        <f aca="false">IF(Protocolos!A35="","",Protocolos!A35)</f>
        <v/>
      </c>
      <c r="B35" s="13" t="str">
        <f aca="false">IF('Versión A'!B35="","",'Versión A'!B35)</f>
        <v/>
      </c>
      <c r="C35" s="13" t="str">
        <f aca="false">IFERROR(IF('Versión B'!N35="","",'Versión B'!N35),"")</f>
        <v/>
      </c>
      <c r="D35" s="13" t="str">
        <f aca="false">IF(OR(B35="",C35="",ISNA(MATCH(B35,{"I","II","III","IV"},0)),ISNA(MATCH(C35,{"I","II","III","IV"},0))),"",IF(B35=C35,"Sí","No"))</f>
        <v/>
      </c>
    </row>
    <row r="36" customFormat="false" ht="15" hidden="false" customHeight="true" outlineLevel="0" collapsed="false">
      <c r="A36" s="13" t="str">
        <f aca="false">IF(Protocolos!A36="","",Protocolos!A36)</f>
        <v/>
      </c>
      <c r="B36" s="13" t="str">
        <f aca="false">IF('Versión A'!B36="","",'Versión A'!B36)</f>
        <v/>
      </c>
      <c r="C36" s="13" t="str">
        <f aca="false">IFERROR(IF('Versión B'!N36="","",'Versión B'!N36),"")</f>
        <v/>
      </c>
      <c r="D36" s="13" t="str">
        <f aca="false">IF(OR(B36="",C36="",ISNA(MATCH(B36,{"I","II","III","IV"},0)),ISNA(MATCH(C36,{"I","II","III","IV"},0))),"",IF(B36=C36,"Sí","No"))</f>
        <v/>
      </c>
    </row>
    <row r="37" customFormat="false" ht="15" hidden="false" customHeight="true" outlineLevel="0" collapsed="false">
      <c r="A37" s="13" t="str">
        <f aca="false">IF(Protocolos!A37="","",Protocolos!A37)</f>
        <v/>
      </c>
      <c r="B37" s="13" t="str">
        <f aca="false">IF('Versión A'!B37="","",'Versión A'!B37)</f>
        <v/>
      </c>
      <c r="C37" s="13" t="str">
        <f aca="false">IFERROR(IF('Versión B'!N37="","",'Versión B'!N37),"")</f>
        <v/>
      </c>
      <c r="D37" s="13" t="str">
        <f aca="false">IF(OR(B37="",C37="",ISNA(MATCH(B37,{"I","II","III","IV"},0)),ISNA(MATCH(C37,{"I","II","III","IV"},0))),"",IF(B37=C37,"Sí","No"))</f>
        <v/>
      </c>
    </row>
    <row r="38" customFormat="false" ht="15" hidden="false" customHeight="true" outlineLevel="0" collapsed="false">
      <c r="A38" s="13" t="str">
        <f aca="false">IF(Protocolos!A38="","",Protocolos!A38)</f>
        <v/>
      </c>
      <c r="B38" s="13" t="str">
        <f aca="false">IF('Versión A'!B38="","",'Versión A'!B38)</f>
        <v/>
      </c>
      <c r="C38" s="13" t="str">
        <f aca="false">IFERROR(IF('Versión B'!N38="","",'Versión B'!N38),"")</f>
        <v/>
      </c>
      <c r="D38" s="13" t="str">
        <f aca="false">IF(OR(B38="",C38="",ISNA(MATCH(B38,{"I","II","III","IV"},0)),ISNA(MATCH(C38,{"I","II","III","IV"},0))),"",IF(B38=C38,"Sí","No"))</f>
        <v/>
      </c>
    </row>
    <row r="39" customFormat="false" ht="15" hidden="false" customHeight="true" outlineLevel="0" collapsed="false">
      <c r="A39" s="13" t="str">
        <f aca="false">IF(Protocolos!A39="","",Protocolos!A39)</f>
        <v/>
      </c>
      <c r="B39" s="13" t="str">
        <f aca="false">IF('Versión A'!B39="","",'Versión A'!B39)</f>
        <v/>
      </c>
      <c r="C39" s="13" t="str">
        <f aca="false">IFERROR(IF('Versión B'!N39="","",'Versión B'!N39),"")</f>
        <v/>
      </c>
      <c r="D39" s="13" t="str">
        <f aca="false">IF(OR(B39="",C39="",ISNA(MATCH(B39,{"I","II","III","IV"},0)),ISNA(MATCH(C39,{"I","II","III","IV"},0))),"",IF(B39=C39,"Sí","No"))</f>
        <v/>
      </c>
    </row>
    <row r="40" customFormat="false" ht="15" hidden="false" customHeight="true" outlineLevel="0" collapsed="false">
      <c r="A40" s="13" t="str">
        <f aca="false">IF(Protocolos!A40="","",Protocolos!A40)</f>
        <v/>
      </c>
      <c r="B40" s="13" t="str">
        <f aca="false">IF('Versión A'!B40="","",'Versión A'!B40)</f>
        <v/>
      </c>
      <c r="C40" s="13" t="str">
        <f aca="false">IFERROR(IF('Versión B'!N40="","",'Versión B'!N40),"")</f>
        <v/>
      </c>
      <c r="D40" s="13" t="str">
        <f aca="false">IF(OR(B40="",C40="",ISNA(MATCH(B40,{"I","II","III","IV"},0)),ISNA(MATCH(C40,{"I","II","III","IV"},0))),"",IF(B40=C40,"Sí","No"))</f>
        <v/>
      </c>
    </row>
    <row r="41" customFormat="false" ht="15" hidden="false" customHeight="true" outlineLevel="0" collapsed="false">
      <c r="A41" s="13" t="str">
        <f aca="false">IF(Protocolos!A41="","",Protocolos!A41)</f>
        <v/>
      </c>
      <c r="B41" s="13" t="str">
        <f aca="false">IF('Versión A'!B41="","",'Versión A'!B41)</f>
        <v/>
      </c>
      <c r="C41" s="13" t="str">
        <f aca="false">IFERROR(IF('Versión B'!N41="","",'Versión B'!N41),"")</f>
        <v/>
      </c>
      <c r="D41" s="13" t="str">
        <f aca="false">IF(OR(B41="",C41="",ISNA(MATCH(B41,{"I","II","III","IV"},0)),ISNA(MATCH(C41,{"I","II","III","IV"},0))),"",IF(B41=C41,"Sí","No"))</f>
        <v/>
      </c>
    </row>
    <row r="42" customFormat="false" ht="15" hidden="false" customHeight="true" outlineLevel="0" collapsed="false">
      <c r="A42" s="13" t="str">
        <f aca="false">IF(Protocolos!A42="","",Protocolos!A42)</f>
        <v/>
      </c>
      <c r="B42" s="13" t="str">
        <f aca="false">IF('Versión A'!B42="","",'Versión A'!B42)</f>
        <v/>
      </c>
      <c r="C42" s="13" t="str">
        <f aca="false">IFERROR(IF('Versión B'!N42="","",'Versión B'!N42),"")</f>
        <v/>
      </c>
      <c r="D42" s="13" t="str">
        <f aca="false">IF(OR(B42="",C42="",ISNA(MATCH(B42,{"I","II","III","IV"},0)),ISNA(MATCH(C42,{"I","II","III","IV"},0))),"",IF(B42=C42,"Sí","No"))</f>
        <v/>
      </c>
    </row>
    <row r="43" customFormat="false" ht="15" hidden="false" customHeight="true" outlineLevel="0" collapsed="false">
      <c r="A43" s="13" t="str">
        <f aca="false">IF(Protocolos!A43="","",Protocolos!A43)</f>
        <v/>
      </c>
      <c r="B43" s="13" t="str">
        <f aca="false">IF('Versión A'!B43="","",'Versión A'!B43)</f>
        <v/>
      </c>
      <c r="C43" s="13" t="str">
        <f aca="false">IFERROR(IF('Versión B'!N43="","",'Versión B'!N43),"")</f>
        <v/>
      </c>
      <c r="D43" s="13" t="str">
        <f aca="false">IF(OR(B43="",C43="",ISNA(MATCH(B43,{"I","II","III","IV"},0)),ISNA(MATCH(C43,{"I","II","III","IV"},0))),"",IF(B43=C43,"Sí","No"))</f>
        <v/>
      </c>
    </row>
    <row r="44" customFormat="false" ht="15" hidden="false" customHeight="true" outlineLevel="0" collapsed="false">
      <c r="A44" s="13" t="str">
        <f aca="false">IF(Protocolos!A44="","",Protocolos!A44)</f>
        <v/>
      </c>
      <c r="B44" s="13" t="str">
        <f aca="false">IF('Versión A'!B44="","",'Versión A'!B44)</f>
        <v/>
      </c>
      <c r="C44" s="13" t="str">
        <f aca="false">IFERROR(IF('Versión B'!N44="","",'Versión B'!N44),"")</f>
        <v/>
      </c>
      <c r="D44" s="13" t="str">
        <f aca="false">IF(OR(B44="",C44="",ISNA(MATCH(B44,{"I","II","III","IV"},0)),ISNA(MATCH(C44,{"I","II","III","IV"},0))),"",IF(B44=C44,"Sí","No"))</f>
        <v/>
      </c>
    </row>
    <row r="45" customFormat="false" ht="15" hidden="false" customHeight="true" outlineLevel="0" collapsed="false">
      <c r="A45" s="13" t="str">
        <f aca="false">IF(Protocolos!A45="","",Protocolos!A45)</f>
        <v/>
      </c>
      <c r="B45" s="13" t="str">
        <f aca="false">IF('Versión A'!B45="","",'Versión A'!B45)</f>
        <v/>
      </c>
      <c r="C45" s="13" t="str">
        <f aca="false">IFERROR(IF('Versión B'!N45="","",'Versión B'!N45),"")</f>
        <v/>
      </c>
      <c r="D45" s="13" t="str">
        <f aca="false">IF(OR(B45="",C45="",ISNA(MATCH(B45,{"I","II","III","IV"},0)),ISNA(MATCH(C45,{"I","II","III","IV"},0))),"",IF(B45=C45,"Sí","No"))</f>
        <v/>
      </c>
    </row>
    <row r="46" customFormat="false" ht="15" hidden="false" customHeight="true" outlineLevel="0" collapsed="false">
      <c r="A46" s="13" t="str">
        <f aca="false">IF(Protocolos!A46="","",Protocolos!A46)</f>
        <v/>
      </c>
      <c r="B46" s="13" t="str">
        <f aca="false">IF('Versión A'!B46="","",'Versión A'!B46)</f>
        <v/>
      </c>
      <c r="C46" s="13" t="str">
        <f aca="false">IFERROR(IF('Versión B'!N46="","",'Versión B'!N46),"")</f>
        <v/>
      </c>
      <c r="D46" s="13" t="str">
        <f aca="false">IF(OR(B46="",C46="",ISNA(MATCH(B46,{"I","II","III","IV"},0)),ISNA(MATCH(C46,{"I","II","III","IV"},0))),"",IF(B46=C46,"Sí","No"))</f>
        <v/>
      </c>
    </row>
    <row r="47" customFormat="false" ht="15" hidden="false" customHeight="true" outlineLevel="0" collapsed="false">
      <c r="A47" s="13" t="str">
        <f aca="false">IF(Protocolos!A47="","",Protocolos!A47)</f>
        <v/>
      </c>
      <c r="B47" s="13" t="str">
        <f aca="false">IF('Versión A'!B47="","",'Versión A'!B47)</f>
        <v/>
      </c>
      <c r="C47" s="13" t="str">
        <f aca="false">IFERROR(IF('Versión B'!N47="","",'Versión B'!N47),"")</f>
        <v/>
      </c>
      <c r="D47" s="13" t="str">
        <f aca="false">IF(OR(B47="",C47="",ISNA(MATCH(B47,{"I","II","III","IV"},0)),ISNA(MATCH(C47,{"I","II","III","IV"},0))),"",IF(B47=C47,"Sí","No"))</f>
        <v/>
      </c>
    </row>
    <row r="48" customFormat="false" ht="15" hidden="false" customHeight="true" outlineLevel="0" collapsed="false">
      <c r="A48" s="13" t="str">
        <f aca="false">IF(Protocolos!A48="","",Protocolos!A48)</f>
        <v/>
      </c>
      <c r="B48" s="13" t="str">
        <f aca="false">IF('Versión A'!B48="","",'Versión A'!B48)</f>
        <v/>
      </c>
      <c r="C48" s="13" t="str">
        <f aca="false">IFERROR(IF('Versión B'!N48="","",'Versión B'!N48),"")</f>
        <v/>
      </c>
      <c r="D48" s="13" t="str">
        <f aca="false">IF(OR(B48="",C48="",ISNA(MATCH(B48,{"I","II","III","IV"},0)),ISNA(MATCH(C48,{"I","II","III","IV"},0))),"",IF(B48=C48,"Sí","No"))</f>
        <v/>
      </c>
    </row>
    <row r="49" customFormat="false" ht="15" hidden="false" customHeight="true" outlineLevel="0" collapsed="false">
      <c r="A49" s="13" t="str">
        <f aca="false">IF(Protocolos!A49="","",Protocolos!A49)</f>
        <v/>
      </c>
      <c r="B49" s="13" t="str">
        <f aca="false">IF('Versión A'!B49="","",'Versión A'!B49)</f>
        <v/>
      </c>
      <c r="C49" s="13" t="str">
        <f aca="false">IFERROR(IF('Versión B'!N49="","",'Versión B'!N49),"")</f>
        <v/>
      </c>
      <c r="D49" s="13" t="str">
        <f aca="false">IF(OR(B49="",C49="",ISNA(MATCH(B49,{"I","II","III","IV"},0)),ISNA(MATCH(C49,{"I","II","III","IV"},0))),"",IF(B49=C49,"Sí","No"))</f>
        <v/>
      </c>
    </row>
    <row r="50" customFormat="false" ht="15" hidden="false" customHeight="true" outlineLevel="0" collapsed="false">
      <c r="A50" s="13" t="str">
        <f aca="false">IF(Protocolos!A50="","",Protocolos!A50)</f>
        <v/>
      </c>
      <c r="B50" s="13" t="str">
        <f aca="false">IF('Versión A'!B50="","",'Versión A'!B50)</f>
        <v/>
      </c>
      <c r="C50" s="13" t="str">
        <f aca="false">IFERROR(IF('Versión B'!N50="","",'Versión B'!N50),"")</f>
        <v/>
      </c>
      <c r="D50" s="13" t="str">
        <f aca="false">IF(OR(B50="",C50="",ISNA(MATCH(B50,{"I","II","III","IV"},0)),ISNA(MATCH(C50,{"I","II","III","IV"},0))),"",IF(B50=C50,"Sí","No"))</f>
        <v/>
      </c>
    </row>
    <row r="51" customFormat="false" ht="15" hidden="false" customHeight="true" outlineLevel="0" collapsed="false">
      <c r="A51" s="13" t="str">
        <f aca="false">IF(Protocolos!A51="","",Protocolos!A51)</f>
        <v/>
      </c>
      <c r="B51" s="13" t="str">
        <f aca="false">IF('Versión A'!B51="","",'Versión A'!B51)</f>
        <v/>
      </c>
      <c r="C51" s="13" t="str">
        <f aca="false">IFERROR(IF('Versión B'!N51="","",'Versión B'!N51),"")</f>
        <v/>
      </c>
      <c r="D51" s="13" t="str">
        <f aca="false">IF(OR(B51="",C51="",ISNA(MATCH(B51,{"I","II","III","IV"},0)),ISNA(MATCH(C51,{"I","II","III","IV"},0))),"",IF(B51=C51,"Sí","No"))</f>
        <v/>
      </c>
    </row>
    <row r="52" customFormat="false" ht="15" hidden="false" customHeight="true" outlineLevel="0" collapsed="false">
      <c r="A52" s="13" t="str">
        <f aca="false">IF(Protocolos!A52="","",Protocolos!A52)</f>
        <v/>
      </c>
      <c r="B52" s="13" t="str">
        <f aca="false">IF('Versión A'!B52="","",'Versión A'!B52)</f>
        <v/>
      </c>
      <c r="C52" s="13" t="str">
        <f aca="false">IFERROR(IF('Versión B'!N52="","",'Versión B'!N52),"")</f>
        <v/>
      </c>
      <c r="D52" s="13" t="str">
        <f aca="false">IF(OR(B52="",C52="",ISNA(MATCH(B52,{"I","II","III","IV"},0)),ISNA(MATCH(C52,{"I","II","III","IV"},0))),"",IF(B52=C52,"Sí","No"))</f>
        <v/>
      </c>
    </row>
    <row r="53" customFormat="false" ht="15" hidden="false" customHeight="true" outlineLevel="0" collapsed="false">
      <c r="A53" s="13" t="str">
        <f aca="false">IF(Protocolos!A53="","",Protocolos!A53)</f>
        <v/>
      </c>
      <c r="B53" s="13" t="str">
        <f aca="false">IF('Versión A'!B53="","",'Versión A'!B53)</f>
        <v/>
      </c>
      <c r="C53" s="13" t="str">
        <f aca="false">IFERROR(IF('Versión B'!N53="","",'Versión B'!N53),"")</f>
        <v/>
      </c>
      <c r="D53" s="13" t="str">
        <f aca="false">IF(OR(B53="",C53="",ISNA(MATCH(B53,{"I","II","III","IV"},0)),ISNA(MATCH(C53,{"I","II","III","IV"},0))),"",IF(B53=C53,"Sí","No"))</f>
        <v/>
      </c>
    </row>
  </sheetData>
  <mergeCells count="3">
    <mergeCell ref="A1:D1"/>
    <mergeCell ref="A2:D2"/>
    <mergeCell ref="F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22"/>
    <col collapsed="false" customWidth="true" hidden="false" outlineLevel="0" max="3" min="3" style="1" width="30"/>
  </cols>
  <sheetData>
    <row r="1" customFormat="false" ht="27.75" hidden="false" customHeight="true" outlineLevel="0" collapsed="false">
      <c r="A1" s="6" t="s">
        <v>93</v>
      </c>
      <c r="B1" s="6"/>
      <c r="C1" s="6"/>
    </row>
    <row r="2" customFormat="false" ht="48" hidden="false" customHeight="true" outlineLevel="0" collapsed="false">
      <c r="A2" s="11" t="s">
        <v>94</v>
      </c>
      <c r="B2" s="11"/>
      <c r="C2" s="11"/>
    </row>
    <row r="4" customFormat="false" ht="15" hidden="false" customHeight="true" outlineLevel="0" collapsed="false">
      <c r="A4" s="37" t="s">
        <v>95</v>
      </c>
      <c r="B4" s="37"/>
      <c r="C4" s="37"/>
    </row>
    <row r="5" customFormat="false" ht="15" hidden="false" customHeight="true" outlineLevel="0" collapsed="false">
      <c r="A5" s="38" t="s">
        <v>31</v>
      </c>
      <c r="B5" s="16" t="n">
        <f aca="false">'Versión A'!H4</f>
        <v>0</v>
      </c>
      <c r="C5" s="39"/>
    </row>
    <row r="6" customFormat="false" ht="15" hidden="false" customHeight="true" outlineLevel="0" collapsed="false">
      <c r="A6" s="38" t="s">
        <v>96</v>
      </c>
      <c r="B6" s="17" t="str">
        <f aca="false">'Versión A'!H7</f>
        <v/>
      </c>
      <c r="C6" s="39"/>
    </row>
    <row r="7" customFormat="false" ht="34.5" hidden="false" customHeight="true" outlineLevel="0" collapsed="false">
      <c r="A7" s="38" t="s">
        <v>36</v>
      </c>
      <c r="B7" s="18" t="str">
        <f aca="false">'Versión A'!H9</f>
        <v/>
      </c>
      <c r="C7" s="39" t="s">
        <v>97</v>
      </c>
    </row>
    <row r="8" customFormat="false" ht="15" hidden="false" customHeight="true" outlineLevel="0" collapsed="false">
      <c r="A8" s="38" t="s">
        <v>37</v>
      </c>
      <c r="B8" s="13" t="str">
        <f aca="false">'Versión A'!H10</f>
        <v/>
      </c>
      <c r="C8" s="39"/>
    </row>
    <row r="9" customFormat="false" ht="26.25" hidden="false" customHeight="true" outlineLevel="0" collapsed="false">
      <c r="A9" s="38" t="s">
        <v>98</v>
      </c>
      <c r="B9" s="40" t="str">
        <f aca="false">'Versión A'!H17</f>
        <v/>
      </c>
    </row>
    <row r="10" customFormat="false" ht="15" hidden="false" customHeight="true" outlineLevel="0" collapsed="false">
      <c r="A10" s="37" t="s">
        <v>99</v>
      </c>
      <c r="B10" s="37"/>
      <c r="C10" s="37"/>
    </row>
    <row r="11" customFormat="false" ht="15" hidden="false" customHeight="true" outlineLevel="0" collapsed="false">
      <c r="A11" s="38" t="s">
        <v>100</v>
      </c>
      <c r="B11" s="16" t="n">
        <f aca="false">'Versión B'!Q9</f>
        <v>0</v>
      </c>
      <c r="C11" s="39"/>
    </row>
    <row r="12" customFormat="false" ht="15" hidden="false" customHeight="true" outlineLevel="0" collapsed="false">
      <c r="A12" s="38" t="s">
        <v>101</v>
      </c>
      <c r="B12" s="17" t="str">
        <f aca="false">'Versión B'!R5</f>
        <v/>
      </c>
      <c r="C12" s="39"/>
    </row>
    <row r="13" customFormat="false" ht="15" hidden="false" customHeight="true" outlineLevel="0" collapsed="false">
      <c r="A13" s="38" t="s">
        <v>102</v>
      </c>
      <c r="B13" s="17" t="str">
        <f aca="false">'Versión B'!R6</f>
        <v/>
      </c>
      <c r="C13" s="39"/>
    </row>
    <row r="14" customFormat="false" ht="15" hidden="false" customHeight="true" outlineLevel="0" collapsed="false">
      <c r="A14" s="38" t="s">
        <v>103</v>
      </c>
      <c r="B14" s="17" t="str">
        <f aca="false">'Versión B'!R7</f>
        <v/>
      </c>
      <c r="C14" s="39"/>
    </row>
    <row r="15" customFormat="false" ht="15" hidden="false" customHeight="true" outlineLevel="0" collapsed="false">
      <c r="A15" s="38" t="s">
        <v>104</v>
      </c>
      <c r="B15" s="17" t="str">
        <f aca="false">'Versión B'!R8</f>
        <v/>
      </c>
      <c r="C15" s="39"/>
    </row>
    <row r="16" customFormat="false" ht="15" hidden="false" customHeight="true" outlineLevel="0" collapsed="false">
      <c r="A16" s="38" t="s">
        <v>105</v>
      </c>
      <c r="B16" s="41" t="str">
        <f aca="false">'Versión B'!Q14</f>
        <v/>
      </c>
      <c r="C16" s="39"/>
    </row>
    <row r="17" customFormat="false" ht="15" hidden="false" customHeight="true" outlineLevel="0" collapsed="false">
      <c r="A17" s="38" t="s">
        <v>106</v>
      </c>
      <c r="B17" s="16" t="str">
        <f aca="false">IF('Versión B'!Q17="","",'Versión B'!Q17&amp;" – "&amp;'Versión B'!Q18)</f>
        <v>0 – 0</v>
      </c>
      <c r="C17" s="39"/>
    </row>
    <row r="18" customFormat="false" ht="26.25" hidden="false" customHeight="true" outlineLevel="0" collapsed="false">
      <c r="A18" s="38" t="s">
        <v>107</v>
      </c>
      <c r="B18" s="16" t="str">
        <f aca="false">'Versión B'!Q10&amp;" · "&amp;'Versión B'!Q11</f>
        <v>0 · 0</v>
      </c>
    </row>
    <row r="19" customFormat="false" ht="15" hidden="false" customHeight="true" outlineLevel="0" collapsed="false">
      <c r="A19" s="37" t="s">
        <v>108</v>
      </c>
      <c r="B19" s="37"/>
      <c r="C19" s="37"/>
    </row>
    <row r="20" customFormat="false" ht="15" hidden="false" customHeight="true" outlineLevel="0" collapsed="false">
      <c r="A20" s="38" t="s">
        <v>109</v>
      </c>
      <c r="B20" s="16" t="n">
        <f aca="false">'Triaje A↔B'!G11</f>
        <v>0</v>
      </c>
      <c r="C20" s="39"/>
    </row>
    <row r="21" customFormat="false" ht="15" hidden="false" customHeight="true" outlineLevel="0" collapsed="false">
      <c r="A21" s="38" t="s">
        <v>110</v>
      </c>
      <c r="B21" s="16" t="n">
        <f aca="false">'Triaje A↔B'!G12</f>
        <v>0</v>
      </c>
      <c r="C21" s="39"/>
    </row>
    <row r="22" customFormat="false" ht="34.5" hidden="false" customHeight="true" outlineLevel="0" collapsed="false">
      <c r="A22" s="38" t="s">
        <v>111</v>
      </c>
      <c r="B22" s="36" t="str">
        <f aca="false">'Triaje A↔B'!G13</f>
        <v/>
      </c>
      <c r="C22" s="39" t="s">
        <v>112</v>
      </c>
    </row>
    <row r="24" customFormat="false" ht="15" hidden="false" customHeight="true" outlineLevel="0" collapsed="false">
      <c r="A24" s="37" t="s">
        <v>113</v>
      </c>
      <c r="B24" s="37"/>
      <c r="C24" s="37"/>
    </row>
    <row r="25" customFormat="false" ht="21.75" hidden="false" customHeight="true" outlineLevel="0" collapsed="false">
      <c r="A25" s="42" t="s">
        <v>114</v>
      </c>
      <c r="B25" s="42"/>
      <c r="C25" s="42"/>
    </row>
    <row r="26" customFormat="false" ht="21.75" hidden="false" customHeight="true" outlineLevel="0" collapsed="false">
      <c r="A26" s="42" t="s">
        <v>115</v>
      </c>
      <c r="B26" s="42"/>
      <c r="C26" s="42"/>
    </row>
    <row r="27" customFormat="false" ht="21.75" hidden="false" customHeight="true" outlineLevel="0" collapsed="false">
      <c r="A27" s="42" t="s">
        <v>116</v>
      </c>
      <c r="B27" s="42"/>
      <c r="C27" s="42"/>
    </row>
    <row r="28" customFormat="false" ht="21.75" hidden="false" customHeight="true" outlineLevel="0" collapsed="false">
      <c r="A28" s="42" t="s">
        <v>117</v>
      </c>
      <c r="B28" s="42"/>
      <c r="C28" s="42"/>
    </row>
    <row r="29" customFormat="false" ht="21.75" hidden="false" customHeight="true" outlineLevel="0" collapsed="false">
      <c r="A29" s="42" t="s">
        <v>118</v>
      </c>
      <c r="B29" s="42"/>
      <c r="C29" s="42"/>
    </row>
    <row r="30" customFormat="false" ht="21.75" hidden="false" customHeight="true" outlineLevel="0" collapsed="false">
      <c r="A30" s="42" t="s">
        <v>119</v>
      </c>
      <c r="B30" s="42"/>
      <c r="C30" s="42"/>
    </row>
  </sheetData>
  <mergeCells count="12">
    <mergeCell ref="A1:C1"/>
    <mergeCell ref="A2:C2"/>
    <mergeCell ref="A4:C4"/>
    <mergeCell ref="A10:C10"/>
    <mergeCell ref="A19:C19"/>
    <mergeCell ref="A24:C24"/>
    <mergeCell ref="A25:C25"/>
    <mergeCell ref="A26:C26"/>
    <mergeCell ref="A27:C27"/>
    <mergeCell ref="A28:C28"/>
    <mergeCell ref="A29:C29"/>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2026-05-26T13:50:05Z</dcterms:created>
  <dc:creator>openpyxl</dc:creator>
  <dc:description/>
  <dc:language>es</dc:language>
  <cp:lastModifiedBy/>
  <dcterms:modified xsi:type="dcterms:W3CDTF">2026-09-25T19:09:38Z</dcterms:modified>
  <cp:revision>0</cp:revision>
  <dc:subject/>
  <dc:title>Planilla-modelo · Validación Local de la MARIAH — v2.1 (traducción de cortesía)</dc:title>
</cp:coreProperties>
</file>

<file path=docProps/custom.xml><?xml version="1.0" encoding="utf-8"?>
<Properties xmlns="http://schemas.openxmlformats.org/officeDocument/2006/custom-properties" xmlns:vt="http://schemas.openxmlformats.org/officeDocument/2006/docPropsVTypes"/>
</file>